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69f66393a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dc4a4ea8d89548b5"/>
    <x:sheet xmlns:r="http://schemas.openxmlformats.org/officeDocument/2006/relationships" name="Actual" sheetId="2" r:id="R86ff26ae281e4d96"/>
    <x:sheet xmlns:r="http://schemas.openxmlformats.org/officeDocument/2006/relationships" name="Chart" sheetId="3" r:id="Ra658f44b832f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/mm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27A2B"/>
      </x:patternFill>
    </x:fill>
    <x:fill>
      <x:patternFill patternType="solid">
        <x:fgColor rgb="FF5B9BD5"/>
      </x:patternFill>
    </x:fill>
    <x:fill>
      <x:patternFill patternType="solid">
        <x:fgColor rgb="FFFF0000"/>
      </x:patternFill>
    </x:fill>
    <x:fill>
      <x:patternFill patternType="solid">
        <x:fgColor rgb="FFD9E1F2"/>
      </x:patternFill>
    </x:fill>
    <x:fill>
      <x:patternFill patternType="solid">
        <x:fgColor rgb="FFD9D9D9"/>
      </x:patternFill>
    </x:fill>
    <x:fill>
      <x:patternFill patternType="solid">
        <x:fgColor rgb="FFFFF200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14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1" xfId="0" applyNumberFormat="1" applyFont="1" applyFill="1" applyBorder="1"/>
    <x:xf numFmtId="0" fontId="1" fillId="4" borderId="1" xfId="0" applyNumberFormat="1" applyFont="1" applyFill="1" applyBorder="1"/>
    <x:xf numFmtId="0" fontId="1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/>
    <x:xf numFmtId="0" fontId="5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201" fontId="3" fillId="0" borderId="1" xfId="0" applyNumberFormat="1" applyFont="1" applyFill="1" applyBorder="1"/>
    <x:xf numFmtId="0" fontId="5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3" fillId="3" borderId="1" xfId="0" applyNumberFormat="1" applyFont="1" applyFill="1" applyBorder="1"/>
    <x:xf numFmtId="201" fontId="3" fillId="3" borderId="1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201" fontId="4" fillId="3" borderId="0" xfId="0" applyNumberFormat="1" applyFont="1" applyFill="1" applyBorder="1" applyAlignment="1">
      <x:alignment horizontal="center"/>
    </x:xf>
    <x:xf numFmtId="201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201" fontId="4" fillId="3" borderId="2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/>
    <x:xf numFmtId="0" fontId="3" fillId="6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/>
    </x:xf>
    <x:xf numFmtId="201" fontId="4" fillId="3" borderId="3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/>
    <x:xf numFmtId="0" fontId="3" fillId="6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3" fillId="6" borderId="2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center"/>
    </x:xf>
    <x:xf numFmtId="0" fontId="5" fillId="8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 applyAlignment="1">
      <x:alignment horizontal="center"/>
    </x:xf>
    <x:xf numFmtId="0" fontId="5" fillId="8" borderId="3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201" fontId="4" fillId="3" borderId="2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0" borderId="2" xfId="0" applyNumberFormat="1" applyFont="1" applyFill="1" applyBorder="1" applyAlignment="1">
      <x:alignment horizontal="center" wrapText="1"/>
    </x:xf>
    <x:xf numFmtId="0" fontId="5" fillId="8" borderId="2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201" fontId="4" fillId="3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0" borderId="3" xfId="0" applyNumberFormat="1" applyFont="1" applyFill="1" applyBorder="1" applyAlignment="1">
      <x:alignment horizontal="center"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0" xfId="0" applyNumberFormat="1" applyFont="1" applyFill="1" applyBorder="1"/>
    <x:xf numFmtId="0" fontId="3" fillId="7" borderId="0" xfId="0" applyNumberFormat="1" applyFont="1" applyFill="1" applyBorder="1"/>
    <x:xf numFmtId="0" fontId="5" fillId="7" borderId="0" xfId="0" applyNumberFormat="1" applyFont="1" applyFill="1" applyBorder="1"/>
    <x:xf numFmtId="0" fontId="3" fillId="8" borderId="0" xfId="0" applyNumberFormat="1" applyFont="1" applyFill="1" applyBorder="1"/>
    <x:xf numFmtId="0" fontId="5" fillId="8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wrapText="1"/>
    </x:xf>
    <x:xf numFmtId="201" fontId="4" fillId="3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18108a08e4b11" /><Relationship Type="http://schemas.openxmlformats.org/officeDocument/2006/relationships/theme" Target="/xl/theme/theme1.xml" Id="R92ee3ce0389d4374" /><Relationship Type="http://schemas.openxmlformats.org/officeDocument/2006/relationships/sharedStrings" Target="/xl/sharedStrings.xml" Id="R87136f3c9f7940b9" /><Relationship Type="http://schemas.openxmlformats.org/officeDocument/2006/relationships/worksheet" Target="/xl/worksheets/sheet1.xml" Id="Rdc4a4ea8d89548b5" /><Relationship Type="http://schemas.openxmlformats.org/officeDocument/2006/relationships/worksheet" Target="/xl/worksheets/sheet2.xml" Id="R86ff26ae281e4d96" /><Relationship Type="http://schemas.openxmlformats.org/officeDocument/2006/relationships/worksheet" Target="/xl/worksheets/sheet3.xml" Id="Ra658f44b832f4b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c1a2877ac040e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Estimate</c:v>
          </c:tx>
          <c:marker>
            <c:symbol val="none"/>
          </c:marker>
          <c:cat>
            <c:strRef>
              <c:f>'Chart'!$C$4:$C$25</c:f>
              <c:strCache>
                <c:ptCount val="0"/>
              </c:strCache>
            </c:strRef>
          </c:cat>
          <c:val>
            <c:numRef>
              <c:f>'Chart'!$A$4:$A$25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marker>
            <c:symbol val="none"/>
          </c:marker>
          <c:cat>
            <c:strRef>
              <c:f>'Chart'!$C$4:$C$25</c:f>
              <c:strCache>
                <c:ptCount val="0"/>
              </c:strCache>
            </c:strRef>
          </c:cat>
          <c:val>
            <c:numRef>
              <c:f>'Chart'!$B$4:$B$25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/mm" sourceLinked="0"/>
        <c:majorTickMark val="none"/>
        <c:minorTickMark val="none"/>
        <c:tickLblPos val="nextTo"/>
        <c:crossAx val="48672768"/>
        <c:auto val="1"/>
        <c:lblOffset val="100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c1a2877ac040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cf4c33590b8412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20" hidden="0" customWidth="1"/>
    <x:col min="5" max="5" width="10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</x:cols>
  <x:sheetData>
    <x:row r="1">
      <x:c r="A1" s="94" t="str">
        <x:v>Project Name:</x:v>
      </x:c>
      <x:c r="B1" s="45"/>
      <x:c r="C1" s="94" t="str">
        <x:v>Smart Scheduling - Website for Automated Staff Scheduling and Shift</x:v>
      </x:c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/>
    </x:row>
    <x:row r="2">
      <x:c r="A2" s="94" t="str">
        <x:v>Module Name:</x:v>
      </x:c>
      <x:c r="B2" s="45"/>
      <x:c r="C2" s="94" t="str">
        <x:v>Sprint 4 - Timesheet, Reporting, AI Assistant &amp; System Hardening</x:v>
      </x:c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/>
    </x:row>
    <x:row r="3">
      <x:c r="A3" s="94" t="str">
        <x:v>Development Team:</x:v>
      </x:c>
      <x:c r="B3" s="45"/>
      <x:c r="C3" s="94" t="str">
        <x:v>C1SE.57</x:v>
      </x:c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/>
    </x:row>
    <x:row r="4">
      <x:c r="A4" s="94" t="str">
        <x:v>Start Date:</x:v>
      </x:c>
      <x:c r="B4" s="45"/>
      <x:c r="C4" s="95" t="n">
        <x:v>46332</x:v>
      </x:c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/>
    </x:row>
    <x:row r="5">
      <x:c r="A5" s="94" t="str">
        <x:v>End Date:</x:v>
      </x:c>
      <x:c r="B5" s="45"/>
      <x:c r="C5" s="95" t="n">
        <x:v>46353</x:v>
      </x:c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/>
    </x:row>
    <x:row r="7">
      <x:c r="A7" s="45"/>
      <x:c r="B7" s="45"/>
      <x:c r="C7" s="45"/>
      <x:c r="D7" s="45"/>
      <x:c r="E7" s="45"/>
      <x:c r="F7" s="45"/>
      <x:c r="G7" s="45"/>
      <x:c r="H7" s="96" t="str">
        <x:v>On Time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/>
    </x:row>
    <x:row r="8">
      <x:c r="A8" s="97" t="str">
        <x:v>No.</x:v>
      </x:c>
      <x:c r="B8" s="97" t="str">
        <x:v>Member Name</x:v>
      </x:c>
      <x:c r="C8" s="97" t="str">
        <x:v>Full Name</x:v>
      </x:c>
      <x:c r="D8" s="97" t="str">
        <x:v>Estimate</x:v>
      </x:c>
      <x:c r="E8" s="45"/>
      <x:c r="F8" s="45"/>
      <x:c r="G8" s="45"/>
      <x:c r="H8" s="98" t="str">
        <x:v>Lately</x:v>
      </x:c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/>
    </x:row>
    <x:row r="9">
      <x:c r="A9" s="78" t="n">
        <x:v>1</x:v>
      </x:c>
      <x:c r="B9" s="78" t="str">
        <x:v>Tuan</x:v>
      </x:c>
      <x:c r="C9" s="78" t="str">
        <x:v>Lê Hà Đức Tuấn</x:v>
      </x:c>
      <x:c r="D9" s="78" t="n">
        <x:f>SUMIF($D$16:$D$53,B9,$E$16:$E$53)</x:f>
        <x:v>40</x:v>
      </x:c>
      <x:c r="E9" s="45"/>
      <x:c r="F9" s="45"/>
      <x:c r="G9" s="45"/>
      <x:c r="H9" s="99" t="str">
        <x:v>Early</x:v>
      </x:c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/>
    </x:row>
    <x:row r="10">
      <x:c r="A10" s="78" t="n">
        <x:v>2</x:v>
      </x:c>
      <x:c r="B10" s="78" t="str">
        <x:v>Hien</x:v>
      </x:c>
      <x:c r="C10" s="78" t="str">
        <x:v>Lê Trần Thanh Hiền</x:v>
      </x:c>
      <x:c r="D10" s="78" t="n">
        <x:f>SUMIF($D$16:$D$53,B10,$E$16:$E$53)</x:f>
        <x:v>37</x:v>
      </x:c>
      <x:c r="E10" s="45"/>
      <x:c r="F10" s="45"/>
      <x:c r="G10" s="45"/>
      <x:c r="H10" s="100" t="str">
        <x:v>Unfinished</x:v>
      </x:c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/>
    </x:row>
    <x:row r="11">
      <x:c r="A11" s="78" t="n">
        <x:v>3</x:v>
      </x:c>
      <x:c r="B11" s="78" t="str">
        <x:v>Nghia</x:v>
      </x:c>
      <x:c r="C11" s="78" t="str">
        <x:v>Lê Đình Nghĩa</x:v>
      </x:c>
      <x:c r="D11" s="78" t="n">
        <x:f>SUMIF($D$16:$D$53,B11,$E$16:$E$53)</x:f>
        <x:v>41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/>
    </x:row>
    <x:row r="12">
      <x:c r="A12" s="78" t="n">
        <x:v>4</x:v>
      </x:c>
      <x:c r="B12" s="78" t="str">
        <x:v>Quan</x:v>
      </x:c>
      <x:c r="C12" s="78" t="str">
        <x:v>Huỳnh Văn Minh Quân</x:v>
      </x:c>
      <x:c r="D12" s="78" t="n">
        <x:f>SUMIF($D$16:$D$53,B12,$E$16:$E$53)</x:f>
        <x:v>37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/>
    </x:row>
    <x:row r="13">
      <x:c r="A13" s="78" t="n">
        <x:v>5</x:v>
      </x:c>
      <x:c r="B13" s="78" t="str">
        <x:v>Luc</x:v>
      </x:c>
      <x:c r="C13" s="78" t="str">
        <x:v>Huỳnh Vũ Lực</x:v>
      </x:c>
      <x:c r="D13" s="78" t="n">
        <x:f>SUMIF($D$16:$D$53,B13,$E$16:$E$53)</x:f>
        <x:v>31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/>
    </x:row>
    <x:row r="14">
      <x:c r="A14" s="78" t="str">
        <x:v>Total</x:v>
      </x:c>
      <x:c r="B14" s="78"/>
      <x:c r="C14" s="78"/>
      <x:c r="D14" s="78" t="n">
        <x:f>SUM(D9:D13)</x:f>
        <x:v>186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/>
    </x:row>
    <x:row r="15">
      <x:c r="A15" s="101" t="str">
        <x:v>SPRINT 4 REPORT</x:v>
      </x:c>
      <x:c r="B15" s="101" t="str">
        <x:v>Component</x:v>
      </x:c>
      <x:c r="C15" s="101" t="str">
        <x:v>Task Name</x:v>
      </x:c>
      <x:c r="D15" s="101" t="str">
        <x:v>Responsible Member</x:v>
      </x:c>
      <x:c r="E15" s="101" t="str">
        <x:v>Estimate</x:v>
      </x:c>
      <x:c r="F15" s="102" t="n">
        <x:v>46332</x:v>
      </x:c>
      <x:c r="G15" s="102" t="n">
        <x:v>46333</x:v>
      </x:c>
      <x:c r="H15" s="102" t="n">
        <x:v>46334</x:v>
      </x:c>
      <x:c r="I15" s="102" t="n">
        <x:v>46335</x:v>
      </x:c>
      <x:c r="J15" s="102" t="n">
        <x:v>46336</x:v>
      </x:c>
      <x:c r="K15" s="102" t="n">
        <x:v>46337</x:v>
      </x:c>
      <x:c r="L15" s="102" t="n">
        <x:v>46338</x:v>
      </x:c>
      <x:c r="M15" s="102" t="n">
        <x:v>46339</x:v>
      </x:c>
      <x:c r="N15" s="102" t="n">
        <x:v>46340</x:v>
      </x:c>
      <x:c r="O15" s="102" t="n">
        <x:v>46341</x:v>
      </x:c>
      <x:c r="P15" s="102" t="n">
        <x:v>46342</x:v>
      </x:c>
      <x:c r="Q15" s="102" t="n">
        <x:v>46343</x:v>
      </x:c>
      <x:c r="R15" s="102" t="n">
        <x:v>46344</x:v>
      </x:c>
      <x:c r="S15" s="102" t="n">
        <x:v>46345</x:v>
      </x:c>
      <x:c r="T15" s="102" t="n">
        <x:v>46346</x:v>
      </x:c>
      <x:c r="U15" s="102" t="n">
        <x:v>46347</x:v>
      </x:c>
      <x:c r="V15" s="102" t="n">
        <x:v>46348</x:v>
      </x:c>
      <x:c r="W15" s="102" t="n">
        <x:v>46349</x:v>
      </x:c>
      <x:c r="X15" s="102" t="n">
        <x:v>46350</x:v>
      </x:c>
      <x:c r="Y15" s="102" t="n">
        <x:v>46351</x:v>
      </x:c>
      <x:c r="Z15" s="102" t="n">
        <x:v>46352</x:v>
      </x:c>
      <x:c r="AA15" s="28" t="n">
        <x:v>46353</x:v>
      </x:c>
    </x:row>
    <x:row r="16">
      <x:c r="A16" s="78"/>
      <x:c r="B16" s="103" t="str">
        <x:v>Planning</x:v>
      </x:c>
      <x:c r="C16" s="104"/>
      <x:c r="D16" s="104"/>
      <x:c r="E16" s="104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  <x:c r="V16" s="105"/>
      <x:c r="W16" s="105"/>
      <x:c r="X16" s="105"/>
      <x:c r="Y16" s="105"/>
      <x:c r="Z16" s="105"/>
      <x:c r="AA16"/>
    </x:row>
    <x:row r="17">
      <x:c r="A17" s="78"/>
      <x:c r="B17" s="78" t="str">
        <x:v>Planning</x:v>
      </x:c>
      <x:c r="C17" s="78" t="str">
        <x:v>Sprint Planning Meeting</x:v>
      </x:c>
      <x:c r="D17" s="78" t="str">
        <x:v>Tuan</x:v>
      </x:c>
      <x:c r="E17" s="78" t="n">
        <x:v>3</x:v>
      </x:c>
      <x:c r="F17" s="106" t="n">
        <x:v>0</x:v>
      </x:c>
      <x:c r="G17" s="106" t="n">
        <x:v>0</x:v>
      </x:c>
      <x:c r="H17" s="106" t="n">
        <x:v>0</x:v>
      </x:c>
      <x:c r="I17" s="106" t="n">
        <x:v>0</x:v>
      </x:c>
      <x:c r="J17" s="106" t="n">
        <x:v>0</x:v>
      </x:c>
      <x:c r="K17" s="106" t="n">
        <x:v>0</x:v>
      </x:c>
      <x:c r="L17" s="106" t="n">
        <x:v>0</x:v>
      </x:c>
      <x:c r="M17" s="106" t="n">
        <x:v>0</x:v>
      </x:c>
      <x:c r="N17" s="106" t="n">
        <x:v>0</x:v>
      </x:c>
      <x:c r="O17" s="106" t="n">
        <x:v>0</x:v>
      </x:c>
      <x:c r="P17" s="106" t="n">
        <x:v>0</x:v>
      </x:c>
      <x:c r="Q17" s="106" t="n">
        <x:v>0</x:v>
      </x:c>
      <x:c r="R17" s="106" t="n">
        <x:v>0</x:v>
      </x:c>
      <x:c r="S17" s="106" t="n">
        <x:v>0</x:v>
      </x:c>
      <x:c r="T17" s="106" t="n">
        <x:v>0</x:v>
      </x:c>
      <x:c r="U17" s="106" t="n">
        <x:v>0</x:v>
      </x:c>
      <x:c r="V17" s="106" t="n">
        <x:v>0</x:v>
      </x:c>
      <x:c r="W17" s="106" t="n">
        <x:v>0</x:v>
      </x:c>
      <x:c r="X17" s="106" t="n">
        <x:v>0</x:v>
      </x:c>
      <x:c r="Y17" s="106" t="n">
        <x:v>0</x:v>
      </x:c>
      <x:c r="Z17" s="106" t="n">
        <x:v>0</x:v>
      </x:c>
      <x:c r="AA17" t="n">
        <x:v>0</x:v>
      </x:c>
    </x:row>
    <x:row r="18">
      <x:c r="A18" s="78"/>
      <x:c r="B18" s="78" t="str">
        <x:v>Planning</x:v>
      </x:c>
      <x:c r="C18" s="78" t="str">
        <x:v>Create Sprint Backlog &amp; Test Plan</x:v>
      </x:c>
      <x:c r="D18" s="78" t="str">
        <x:v>Tuan</x:v>
      </x:c>
      <x:c r="E18" s="78" t="n">
        <x:v>4</x:v>
      </x:c>
      <x:c r="F18" s="106" t="n">
        <x:v>2</x:v>
      </x:c>
      <x:c r="G18" s="106" t="n">
        <x:v>0</x:v>
      </x:c>
      <x:c r="H18" s="106" t="n">
        <x:v>0</x:v>
      </x:c>
      <x:c r="I18" s="106" t="n">
        <x:v>0</x:v>
      </x:c>
      <x:c r="J18" s="106" t="n">
        <x:v>0</x:v>
      </x:c>
      <x:c r="K18" s="106" t="n">
        <x:v>0</x:v>
      </x:c>
      <x:c r="L18" s="106" t="n">
        <x:v>0</x:v>
      </x:c>
      <x:c r="M18" s="106" t="n">
        <x:v>0</x:v>
      </x:c>
      <x:c r="N18" s="106" t="n">
        <x:v>0</x:v>
      </x:c>
      <x:c r="O18" s="106" t="n">
        <x:v>0</x:v>
      </x:c>
      <x:c r="P18" s="106" t="n">
        <x:v>0</x:v>
      </x:c>
      <x:c r="Q18" s="106" t="n">
        <x:v>0</x:v>
      </x:c>
      <x:c r="R18" s="106" t="n">
        <x:v>0</x:v>
      </x:c>
      <x:c r="S18" s="106" t="n">
        <x:v>0</x:v>
      </x:c>
      <x:c r="T18" s="106" t="n">
        <x:v>0</x:v>
      </x:c>
      <x:c r="U18" s="106" t="n">
        <x:v>0</x:v>
      </x:c>
      <x:c r="V18" s="106" t="n">
        <x:v>0</x:v>
      </x:c>
      <x:c r="W18" s="106" t="n">
        <x:v>0</x:v>
      </x:c>
      <x:c r="X18" s="106" t="n">
        <x:v>0</x:v>
      </x:c>
      <x:c r="Y18" s="106" t="n">
        <x:v>0</x:v>
      </x:c>
      <x:c r="Z18" s="106" t="n">
        <x:v>0</x:v>
      </x:c>
      <x:c r="AA18" t="n">
        <x:v>0</x:v>
      </x:c>
    </x:row>
    <x:row r="19">
      <x:c r="A19" s="78"/>
      <x:c r="B19" s="103" t="str">
        <x:v>Design</x:v>
      </x:c>
      <x:c r="C19" s="104"/>
      <x:c r="D19" s="104"/>
      <x:c r="E19" s="104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  <x:c r="V19" s="105"/>
      <x:c r="W19" s="105"/>
      <x:c r="X19" s="105"/>
      <x:c r="Y19" s="105"/>
      <x:c r="Z19" s="105"/>
      <x:c r="AA19"/>
    </x:row>
    <x:row r="20">
      <x:c r="A20" s="78"/>
      <x:c r="B20" s="78" t="str">
        <x:v>Design</x:v>
      </x:c>
      <x:c r="C20" s="78" t="str">
        <x:v>Design Timesheet reconciliation &amp; approval UI</x:v>
      </x:c>
      <x:c r="D20" s="78" t="str">
        <x:v>Hien</x:v>
      </x:c>
      <x:c r="E20" s="78" t="n">
        <x:v>5</x:v>
      </x:c>
      <x:c r="F20" s="106" t="n">
        <x:v>5</x:v>
      </x:c>
      <x:c r="G20" s="106" t="n">
        <x:v>3.5</x:v>
      </x:c>
      <x:c r="H20" s="106" t="n">
        <x:v>1.5</x:v>
      </x:c>
      <x:c r="I20" s="106" t="n">
        <x:v>0</x:v>
      </x:c>
      <x:c r="J20" s="106" t="n">
        <x:v>0</x:v>
      </x:c>
      <x:c r="K20" s="106" t="n">
        <x:v>0</x:v>
      </x:c>
      <x:c r="L20" s="106" t="n">
        <x:v>0</x:v>
      </x:c>
      <x:c r="M20" s="106" t="n">
        <x:v>0</x:v>
      </x:c>
      <x:c r="N20" s="106" t="n">
        <x:v>0</x:v>
      </x:c>
      <x:c r="O20" s="106" t="n">
        <x:v>0</x:v>
      </x:c>
      <x:c r="P20" s="106" t="n">
        <x:v>0</x:v>
      </x:c>
      <x:c r="Q20" s="106" t="n">
        <x:v>0</x:v>
      </x:c>
      <x:c r="R20" s="106" t="n">
        <x:v>0</x:v>
      </x:c>
      <x:c r="S20" s="106" t="n">
        <x:v>0</x:v>
      </x:c>
      <x:c r="T20" s="106" t="n">
        <x:v>0</x:v>
      </x:c>
      <x:c r="U20" s="106" t="n">
        <x:v>0</x:v>
      </x:c>
      <x:c r="V20" s="106" t="n">
        <x:v>0</x:v>
      </x:c>
      <x:c r="W20" s="106" t="n">
        <x:v>0</x:v>
      </x:c>
      <x:c r="X20" s="106" t="n">
        <x:v>0</x:v>
      </x:c>
      <x:c r="Y20" s="106" t="n">
        <x:v>0</x:v>
      </x:c>
      <x:c r="Z20" s="106" t="n">
        <x:v>0</x:v>
      </x:c>
      <x:c r="AA20" t="n">
        <x:v>0</x:v>
      </x:c>
    </x:row>
    <x:row r="21">
      <x:c r="A21" s="78"/>
      <x:c r="B21" s="78" t="str">
        <x:v>Design</x:v>
      </x:c>
      <x:c r="C21" s="78" t="str">
        <x:v>Design Dashboard &amp; Report UI</x:v>
      </x:c>
      <x:c r="D21" s="78" t="str">
        <x:v>Hien</x:v>
      </x:c>
      <x:c r="E21" s="78" t="n">
        <x:v>6</x:v>
      </x:c>
      <x:c r="F21" s="106" t="n">
        <x:v>6</x:v>
      </x:c>
      <x:c r="G21" s="106" t="n">
        <x:v>6</x:v>
      </x:c>
      <x:c r="H21" s="106" t="n">
        <x:v>4</x:v>
      </x:c>
      <x:c r="I21" s="106" t="n">
        <x:v>2</x:v>
      </x:c>
      <x:c r="J21" s="106" t="n">
        <x:v>0</x:v>
      </x:c>
      <x:c r="K21" s="106" t="n">
        <x:v>0</x:v>
      </x:c>
      <x:c r="L21" s="106" t="n">
        <x:v>0</x:v>
      </x:c>
      <x:c r="M21" s="106" t="n">
        <x:v>0</x:v>
      </x:c>
      <x:c r="N21" s="106" t="n">
        <x:v>0</x:v>
      </x:c>
      <x:c r="O21" s="106" t="n">
        <x:v>0</x:v>
      </x:c>
      <x:c r="P21" s="106" t="n">
        <x:v>0</x:v>
      </x:c>
      <x:c r="Q21" s="106" t="n">
        <x:v>0</x:v>
      </x:c>
      <x:c r="R21" s="106" t="n">
        <x:v>0</x:v>
      </x:c>
      <x:c r="S21" s="106" t="n">
        <x:v>0</x:v>
      </x:c>
      <x:c r="T21" s="106" t="n">
        <x:v>0</x:v>
      </x:c>
      <x:c r="U21" s="106" t="n">
        <x:v>0</x:v>
      </x:c>
      <x:c r="V21" s="106" t="n">
        <x:v>0</x:v>
      </x:c>
      <x:c r="W21" s="106" t="n">
        <x:v>0</x:v>
      </x:c>
      <x:c r="X21" s="106" t="n">
        <x:v>0</x:v>
      </x:c>
      <x:c r="Y21" s="106" t="n">
        <x:v>0</x:v>
      </x:c>
      <x:c r="Z21" s="106" t="n">
        <x:v>0</x:v>
      </x:c>
      <x:c r="AA21" t="n">
        <x:v>0</x:v>
      </x:c>
    </x:row>
    <x:row r="22">
      <x:c r="A22" s="78"/>
      <x:c r="B22" s="78" t="str">
        <x:v>Design</x:v>
      </x:c>
      <x:c r="C22" s="78" t="str">
        <x:v>Design AI Assistant UI / service status</x:v>
      </x:c>
      <x:c r="D22" s="78" t="str">
        <x:v>Quan</x:v>
      </x:c>
      <x:c r="E22" s="78" t="n">
        <x:v>5</x:v>
      </x:c>
      <x:c r="F22" s="106" t="n">
        <x:v>5</x:v>
      </x:c>
      <x:c r="G22" s="106" t="n">
        <x:v>5</x:v>
      </x:c>
      <x:c r="H22" s="106" t="n">
        <x:v>3.5</x:v>
      </x:c>
      <x:c r="I22" s="106" t="n">
        <x:v>1.5</x:v>
      </x:c>
      <x:c r="J22" s="106" t="n">
        <x:v>0</x:v>
      </x:c>
      <x:c r="K22" s="106" t="n">
        <x:v>0</x:v>
      </x:c>
      <x:c r="L22" s="106" t="n">
        <x:v>0</x:v>
      </x:c>
      <x:c r="M22" s="106" t="n">
        <x:v>0</x:v>
      </x:c>
      <x:c r="N22" s="106" t="n">
        <x:v>0</x:v>
      </x:c>
      <x:c r="O22" s="106" t="n">
        <x:v>0</x:v>
      </x:c>
      <x:c r="P22" s="106" t="n">
        <x:v>0</x:v>
      </x:c>
      <x:c r="Q22" s="106" t="n">
        <x:v>0</x:v>
      </x:c>
      <x:c r="R22" s="106" t="n">
        <x:v>0</x:v>
      </x:c>
      <x:c r="S22" s="106" t="n">
        <x:v>0</x:v>
      </x:c>
      <x:c r="T22" s="106" t="n">
        <x:v>0</x:v>
      </x:c>
      <x:c r="U22" s="106" t="n">
        <x:v>0</x:v>
      </x:c>
      <x:c r="V22" s="106" t="n">
        <x:v>0</x:v>
      </x:c>
      <x:c r="W22" s="106" t="n">
        <x:v>0</x:v>
      </x:c>
      <x:c r="X22" s="106" t="n">
        <x:v>0</x:v>
      </x:c>
      <x:c r="Y22" s="106" t="n">
        <x:v>0</x:v>
      </x:c>
      <x:c r="Z22" s="106" t="n">
        <x:v>0</x:v>
      </x:c>
      <x:c r="AA22" t="n">
        <x:v>0</x:v>
      </x:c>
    </x:row>
    <x:row r="23">
      <x:c r="A23" s="78"/>
      <x:c r="B23" s="103" t="str">
        <x:v>Database</x:v>
      </x:c>
      <x:c r="C23" s="104"/>
      <x:c r="D23" s="104"/>
      <x:c r="E23" s="104"/>
      <x:c r="F23" s="105"/>
      <x:c r="G23" s="105"/>
      <x:c r="H23" s="105"/>
      <x:c r="I23" s="105"/>
      <x:c r="J23" s="105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  <x:c r="V23" s="105"/>
      <x:c r="W23" s="105"/>
      <x:c r="X23" s="105"/>
      <x:c r="Y23" s="105"/>
      <x:c r="Z23" s="105"/>
      <x:c r="AA23"/>
    </x:row>
    <x:row r="24">
      <x:c r="A24" s="78"/>
      <x:c r="B24" s="78" t="str">
        <x:v>Database</x:v>
      </x:c>
      <x:c r="C24" s="78" t="str">
        <x:v>Update Timesheet / audit / AI request schema</x:v>
      </x:c>
      <x:c r="D24" s="78" t="str">
        <x:v>Nghia</x:v>
      </x:c>
      <x:c r="E24" s="78" t="n">
        <x:v>8</x:v>
      </x:c>
      <x:c r="F24" s="106" t="n">
        <x:v>8</x:v>
      </x:c>
      <x:c r="G24" s="106" t="n">
        <x:v>8</x:v>
      </x:c>
      <x:c r="H24" s="106" t="n">
        <x:v>8</x:v>
      </x:c>
      <x:c r="I24" s="106" t="n">
        <x:v>6</x:v>
      </x:c>
      <x:c r="J24" s="106" t="n">
        <x:v>4</x:v>
      </x:c>
      <x:c r="K24" s="106" t="n">
        <x:v>2</x:v>
      </x:c>
      <x:c r="L24" s="106" t="n">
        <x:v>0</x:v>
      </x:c>
      <x:c r="M24" s="106" t="n">
        <x:v>0</x:v>
      </x:c>
      <x:c r="N24" s="106" t="n">
        <x:v>0</x:v>
      </x:c>
      <x:c r="O24" s="106" t="n">
        <x:v>0</x:v>
      </x:c>
      <x:c r="P24" s="106" t="n">
        <x:v>0</x:v>
      </x:c>
      <x:c r="Q24" s="106" t="n">
        <x:v>0</x:v>
      </x:c>
      <x:c r="R24" s="106" t="n">
        <x:v>0</x:v>
      </x:c>
      <x:c r="S24" s="106" t="n">
        <x:v>0</x:v>
      </x:c>
      <x:c r="T24" s="106" t="n">
        <x:v>0</x:v>
      </x:c>
      <x:c r="U24" s="106" t="n">
        <x:v>0</x:v>
      </x:c>
      <x:c r="V24" s="106" t="n">
        <x:v>0</x:v>
      </x:c>
      <x:c r="W24" s="106" t="n">
        <x:v>0</x:v>
      </x:c>
      <x:c r="X24" s="106" t="n">
        <x:v>0</x:v>
      </x:c>
      <x:c r="Y24" s="106" t="n">
        <x:v>0</x:v>
      </x:c>
      <x:c r="Z24" s="106" t="n">
        <x:v>0</x:v>
      </x:c>
      <x:c r="AA24" t="n">
        <x:v>0</x:v>
      </x:c>
    </x:row>
    <x:row r="25">
      <x:c r="A25" s="78"/>
      <x:c r="B25" s="103" t="str">
        <x:v>Timesheet</x:v>
      </x:c>
      <x:c r="C25" s="104"/>
      <x:c r="D25" s="104"/>
      <x:c r="E25" s="104"/>
      <x:c r="F25" s="105"/>
      <x:c r="G25" s="105"/>
      <x:c r="H25" s="105"/>
      <x:c r="I25" s="105"/>
      <x:c r="J25" s="105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  <x:c r="V25" s="105"/>
      <x:c r="W25" s="105"/>
      <x:c r="X25" s="105"/>
      <x:c r="Y25" s="105"/>
      <x:c r="Z25" s="105"/>
      <x:c r="AA25"/>
    </x:row>
    <x:row r="26">
      <x:c r="A26" s="78"/>
      <x:c r="B26" s="78" t="str">
        <x:v>Timesheet</x:v>
      </x:c>
      <x:c r="C26" s="78" t="str">
        <x:v>Implement attendance-to-timesheet calculation</x:v>
      </x:c>
      <x:c r="D26" s="78" t="str">
        <x:v>Nghia</x:v>
      </x:c>
      <x:c r="E26" s="78" t="n">
        <x:v>10</x:v>
      </x:c>
      <x:c r="F26" s="106" t="n">
        <x:v>10</x:v>
      </x:c>
      <x:c r="G26" s="106" t="n">
        <x:v>10</x:v>
      </x:c>
      <x:c r="H26" s="106" t="n">
        <x:v>10</x:v>
      </x:c>
      <x:c r="I26" s="106" t="n">
        <x:v>10</x:v>
      </x:c>
      <x:c r="J26" s="106" t="n">
        <x:v>8</x:v>
      </x:c>
      <x:c r="K26" s="106" t="n">
        <x:v>6</x:v>
      </x:c>
      <x:c r="L26" s="106" t="n">
        <x:v>4</x:v>
      </x:c>
      <x:c r="M26" s="106" t="n">
        <x:v>2</x:v>
      </x:c>
      <x:c r="N26" s="106" t="n">
        <x:v>0</x:v>
      </x:c>
      <x:c r="O26" s="106" t="n">
        <x:v>0</x:v>
      </x:c>
      <x:c r="P26" s="106" t="n">
        <x:v>0</x:v>
      </x:c>
      <x:c r="Q26" s="106" t="n">
        <x:v>0</x:v>
      </x:c>
      <x:c r="R26" s="106" t="n">
        <x:v>0</x:v>
      </x:c>
      <x:c r="S26" s="106" t="n">
        <x:v>0</x:v>
      </x:c>
      <x:c r="T26" s="106" t="n">
        <x:v>0</x:v>
      </x:c>
      <x:c r="U26" s="106" t="n">
        <x:v>0</x:v>
      </x:c>
      <x:c r="V26" s="106" t="n">
        <x:v>0</x:v>
      </x:c>
      <x:c r="W26" s="106" t="n">
        <x:v>0</x:v>
      </x:c>
      <x:c r="X26" s="106" t="n">
        <x:v>0</x:v>
      </x:c>
      <x:c r="Y26" s="106" t="n">
        <x:v>0</x:v>
      </x:c>
      <x:c r="Z26" s="106" t="n">
        <x:v>0</x:v>
      </x:c>
      <x:c r="AA26" t="n">
        <x:v>0</x:v>
      </x:c>
    </x:row>
    <x:row r="27">
      <x:c r="A27" s="78"/>
      <x:c r="B27" s="78" t="str">
        <x:v>Timesheet</x:v>
      </x:c>
      <x:c r="C27" s="78" t="str">
        <x:v>Implement grace / break / rounding / overtime rules</x:v>
      </x:c>
      <x:c r="D27" s="78" t="str">
        <x:v>Tuan</x:v>
      </x:c>
      <x:c r="E27" s="78" t="n">
        <x:v>10</x:v>
      </x:c>
      <x:c r="F27" s="106" t="n">
        <x:v>10</x:v>
      </x:c>
      <x:c r="G27" s="106" t="n">
        <x:v>10</x:v>
      </x:c>
      <x:c r="H27" s="106" t="n">
        <x:v>10</x:v>
      </x:c>
      <x:c r="I27" s="106" t="n">
        <x:v>10</x:v>
      </x:c>
      <x:c r="J27" s="106" t="n">
        <x:v>10</x:v>
      </x:c>
      <x:c r="K27" s="106" t="n">
        <x:v>8</x:v>
      </x:c>
      <x:c r="L27" s="106" t="n">
        <x:v>6</x:v>
      </x:c>
      <x:c r="M27" s="106" t="n">
        <x:v>4</x:v>
      </x:c>
      <x:c r="N27" s="106" t="n">
        <x:v>2</x:v>
      </x:c>
      <x:c r="O27" s="106" t="n">
        <x:v>0</x:v>
      </x:c>
      <x:c r="P27" s="106" t="n">
        <x:v>0</x:v>
      </x:c>
      <x:c r="Q27" s="106" t="n">
        <x:v>0</x:v>
      </x:c>
      <x:c r="R27" s="106" t="n">
        <x:v>0</x:v>
      </x:c>
      <x:c r="S27" s="106" t="n">
        <x:v>0</x:v>
      </x:c>
      <x:c r="T27" s="106" t="n">
        <x:v>0</x:v>
      </x:c>
      <x:c r="U27" s="106" t="n">
        <x:v>0</x:v>
      </x:c>
      <x:c r="V27" s="106" t="n">
        <x:v>0</x:v>
      </x:c>
      <x:c r="W27" s="106" t="n">
        <x:v>0</x:v>
      </x:c>
      <x:c r="X27" s="106" t="n">
        <x:v>0</x:v>
      </x:c>
      <x:c r="Y27" s="106" t="n">
        <x:v>0</x:v>
      </x:c>
      <x:c r="Z27" s="106" t="n">
        <x:v>0</x:v>
      </x:c>
      <x:c r="AA27" t="n">
        <x:v>0</x:v>
      </x:c>
    </x:row>
    <x:row r="28">
      <x:c r="A28" s="78"/>
      <x:c r="B28" s="78" t="str">
        <x:v>Timesheet</x:v>
      </x:c>
      <x:c r="C28" s="78" t="str">
        <x:v>Implement Manager correction / approval APIs</x:v>
      </x:c>
      <x:c r="D28" s="78" t="str">
        <x:v>Tuan</x:v>
      </x:c>
      <x:c r="E28" s="78" t="n">
        <x:v>8</x:v>
      </x:c>
      <x:c r="F28" s="106" t="n">
        <x:v>8</x:v>
      </x:c>
      <x:c r="G28" s="106" t="n">
        <x:v>8</x:v>
      </x:c>
      <x:c r="H28" s="106" t="n">
        <x:v>8</x:v>
      </x:c>
      <x:c r="I28" s="106" t="n">
        <x:v>8</x:v>
      </x:c>
      <x:c r="J28" s="106" t="n">
        <x:v>8</x:v>
      </x:c>
      <x:c r="K28" s="106" t="n">
        <x:v>8</x:v>
      </x:c>
      <x:c r="L28" s="106" t="n">
        <x:v>8</x:v>
      </x:c>
      <x:c r="M28" s="106" t="n">
        <x:v>6</x:v>
      </x:c>
      <x:c r="N28" s="106" t="n">
        <x:v>4</x:v>
      </x:c>
      <x:c r="O28" s="106" t="n">
        <x:v>2</x:v>
      </x:c>
      <x:c r="P28" s="106" t="n">
        <x:v>0</x:v>
      </x:c>
      <x:c r="Q28" s="106" t="n">
        <x:v>0</x:v>
      </x:c>
      <x:c r="R28" s="106" t="n">
        <x:v>0</x:v>
      </x:c>
      <x:c r="S28" s="106" t="n">
        <x:v>0</x:v>
      </x:c>
      <x:c r="T28" s="106" t="n">
        <x:v>0</x:v>
      </x:c>
      <x:c r="U28" s="106" t="n">
        <x:v>0</x:v>
      </x:c>
      <x:c r="V28" s="106" t="n">
        <x:v>0</x:v>
      </x:c>
      <x:c r="W28" s="106" t="n">
        <x:v>0</x:v>
      </x:c>
      <x:c r="X28" s="106" t="n">
        <x:v>0</x:v>
      </x:c>
      <x:c r="Y28" s="106" t="n">
        <x:v>0</x:v>
      </x:c>
      <x:c r="Z28" s="106" t="n">
        <x:v>0</x:v>
      </x:c>
      <x:c r="AA28" t="n">
        <x:v>0</x:v>
      </x:c>
    </x:row>
    <x:row r="29">
      <x:c r="A29" s="78"/>
      <x:c r="B29" s="103" t="str">
        <x:v>Web</x:v>
      </x:c>
      <x:c r="C29" s="104"/>
      <x:c r="D29" s="104"/>
      <x:c r="E29" s="104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  <x:c r="V29" s="105"/>
      <x:c r="W29" s="105"/>
      <x:c r="X29" s="105"/>
      <x:c r="Y29" s="105"/>
      <x:c r="Z29" s="105"/>
      <x:c r="AA29"/>
    </x:row>
    <x:row r="30">
      <x:c r="A30" s="78"/>
      <x:c r="B30" s="78" t="str">
        <x:v>Web</x:v>
      </x:c>
      <x:c r="C30" s="78" t="str">
        <x:v>Implement Timesheet review / approval screen</x:v>
      </x:c>
      <x:c r="D30" s="78" t="str">
        <x:v>Hien</x:v>
      </x:c>
      <x:c r="E30" s="78" t="n">
        <x:v>9</x:v>
      </x:c>
      <x:c r="F30" s="106" t="n">
        <x:v>9</x:v>
      </x:c>
      <x:c r="G30" s="106" t="n">
        <x:v>9</x:v>
      </x:c>
      <x:c r="H30" s="106" t="n">
        <x:v>9</x:v>
      </x:c>
      <x:c r="I30" s="106" t="n">
        <x:v>9</x:v>
      </x:c>
      <x:c r="J30" s="106" t="n">
        <x:v>9</x:v>
      </x:c>
      <x:c r="K30" s="106" t="n">
        <x:v>9</x:v>
      </x:c>
      <x:c r="L30" s="106" t="n">
        <x:v>7</x:v>
      </x:c>
      <x:c r="M30" s="106" t="n">
        <x:v>5.5</x:v>
      </x:c>
      <x:c r="N30" s="106" t="n">
        <x:v>3.5</x:v>
      </x:c>
      <x:c r="O30" s="106" t="n">
        <x:v>2</x:v>
      </x:c>
      <x:c r="P30" s="106" t="n">
        <x:v>0</x:v>
      </x:c>
      <x:c r="Q30" s="106" t="n">
        <x:v>0</x:v>
      </x:c>
      <x:c r="R30" s="106" t="n">
        <x:v>0</x:v>
      </x:c>
      <x:c r="S30" s="106" t="n">
        <x:v>0</x:v>
      </x:c>
      <x:c r="T30" s="106" t="n">
        <x:v>0</x:v>
      </x:c>
      <x:c r="U30" s="106" t="n">
        <x:v>0</x:v>
      </x:c>
      <x:c r="V30" s="106" t="n">
        <x:v>0</x:v>
      </x:c>
      <x:c r="W30" s="106" t="n">
        <x:v>0</x:v>
      </x:c>
      <x:c r="X30" s="106" t="n">
        <x:v>0</x:v>
      </x:c>
      <x:c r="Y30" s="106" t="n">
        <x:v>0</x:v>
      </x:c>
      <x:c r="Z30" s="106" t="n">
        <x:v>0</x:v>
      </x:c>
      <x:c r="AA30" t="n">
        <x:v>0</x:v>
      </x:c>
    </x:row>
    <x:row r="31">
      <x:c r="A31" s="78"/>
      <x:c r="B31" s="103" t="str">
        <x:v>Dashboard</x:v>
      </x:c>
      <x:c r="C31" s="104"/>
      <x:c r="D31" s="104"/>
      <x:c r="E31" s="104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  <x:c r="V31" s="105"/>
      <x:c r="W31" s="105"/>
      <x:c r="X31" s="105"/>
      <x:c r="Y31" s="105"/>
      <x:c r="Z31" s="105"/>
      <x:c r="AA31"/>
    </x:row>
    <x:row r="32">
      <x:c r="A32" s="78"/>
      <x:c r="B32" s="78" t="str">
        <x:v>Dashboard</x:v>
      </x:c>
      <x:c r="C32" s="78" t="str">
        <x:v>Implement staffing / attendance dashboard APIs</x:v>
      </x:c>
      <x:c r="D32" s="78" t="str">
        <x:v>Nghia</x:v>
      </x:c>
      <x:c r="E32" s="78" t="n">
        <x:v>9</x:v>
      </x:c>
      <x:c r="F32" s="106" t="n">
        <x:v>9</x:v>
      </x:c>
      <x:c r="G32" s="106" t="n">
        <x:v>9</x:v>
      </x:c>
      <x:c r="H32" s="106" t="n">
        <x:v>9</x:v>
      </x:c>
      <x:c r="I32" s="106" t="n">
        <x:v>9</x:v>
      </x:c>
      <x:c r="J32" s="106" t="n">
        <x:v>9</x:v>
      </x:c>
      <x:c r="K32" s="106" t="n">
        <x:v>9</x:v>
      </x:c>
      <x:c r="L32" s="106" t="n">
        <x:v>9</x:v>
      </x:c>
      <x:c r="M32" s="106" t="n">
        <x:v>9</x:v>
      </x:c>
      <x:c r="N32" s="106" t="n">
        <x:v>7</x:v>
      </x:c>
      <x:c r="O32" s="106" t="n">
        <x:v>4.5</x:v>
      </x:c>
      <x:c r="P32" s="106" t="n">
        <x:v>2</x:v>
      </x:c>
      <x:c r="Q32" s="106" t="n">
        <x:v>0</x:v>
      </x:c>
      <x:c r="R32" s="106" t="n">
        <x:v>0</x:v>
      </x:c>
      <x:c r="S32" s="106" t="n">
        <x:v>0</x:v>
      </x:c>
      <x:c r="T32" s="106" t="n">
        <x:v>0</x:v>
      </x:c>
      <x:c r="U32" s="106" t="n">
        <x:v>0</x:v>
      </x:c>
      <x:c r="V32" s="106" t="n">
        <x:v>0</x:v>
      </x:c>
      <x:c r="W32" s="106" t="n">
        <x:v>0</x:v>
      </x:c>
      <x:c r="X32" s="106" t="n">
        <x:v>0</x:v>
      </x:c>
      <x:c r="Y32" s="106" t="n">
        <x:v>0</x:v>
      </x:c>
      <x:c r="Z32" s="106" t="n">
        <x:v>0</x:v>
      </x:c>
      <x:c r="AA32" t="n">
        <x:v>0</x:v>
      </x:c>
    </x:row>
    <x:row r="33">
      <x:c r="A33" s="78"/>
      <x:c r="B33" s="78" t="str">
        <x:v>Dashboard</x:v>
      </x:c>
      <x:c r="C33" s="78" t="str">
        <x:v>Implement dashboard charts / filters</x:v>
      </x:c>
      <x:c r="D33" s="78" t="str">
        <x:v>Hien</x:v>
      </x:c>
      <x:c r="E33" s="78" t="n">
        <x:v>9</x:v>
      </x:c>
      <x:c r="F33" s="106" t="n">
        <x:v>9</x:v>
      </x:c>
      <x:c r="G33" s="106" t="n">
        <x:v>9</x:v>
      </x:c>
      <x:c r="H33" s="106" t="n">
        <x:v>9</x:v>
      </x:c>
      <x:c r="I33" s="106" t="n">
        <x:v>9</x:v>
      </x:c>
      <x:c r="J33" s="106" t="n">
        <x:v>9</x:v>
      </x:c>
      <x:c r="K33" s="106" t="n">
        <x:v>9</x:v>
      </x:c>
      <x:c r="L33" s="106" t="n">
        <x:v>9</x:v>
      </x:c>
      <x:c r="M33" s="106" t="n">
        <x:v>9</x:v>
      </x:c>
      <x:c r="N33" s="106" t="n">
        <x:v>9</x:v>
      </x:c>
      <x:c r="O33" s="106" t="n">
        <x:v>7</x:v>
      </x:c>
      <x:c r="P33" s="106" t="n">
        <x:v>5.5</x:v>
      </x:c>
      <x:c r="Q33" s="106" t="n">
        <x:v>3.5</x:v>
      </x:c>
      <x:c r="R33" s="106" t="n">
        <x:v>2</x:v>
      </x:c>
      <x:c r="S33" s="106" t="n">
        <x:v>0</x:v>
      </x:c>
      <x:c r="T33" s="106" t="n">
        <x:v>0</x:v>
      </x:c>
      <x:c r="U33" s="106" t="n">
        <x:v>0</x:v>
      </x:c>
      <x:c r="V33" s="106" t="n">
        <x:v>0</x:v>
      </x:c>
      <x:c r="W33" s="106" t="n">
        <x:v>0</x:v>
      </x:c>
      <x:c r="X33" s="106" t="n">
        <x:v>0</x:v>
      </x:c>
      <x:c r="Y33" s="106" t="n">
        <x:v>0</x:v>
      </x:c>
      <x:c r="Z33" s="106" t="n">
        <x:v>0</x:v>
      </x:c>
      <x:c r="AA33" t="n">
        <x:v>0</x:v>
      </x:c>
    </x:row>
    <x:row r="34">
      <x:c r="A34" s="78"/>
      <x:c r="B34" s="103" t="str">
        <x:v>Reporting</x:v>
      </x:c>
      <x:c r="C34" s="104"/>
      <x:c r="D34" s="104"/>
      <x:c r="E34" s="104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  <x:c r="V34" s="105"/>
      <x:c r="W34" s="105"/>
      <x:c r="X34" s="105"/>
      <x:c r="Y34" s="105"/>
      <x:c r="Z34" s="105"/>
      <x:c r="AA34"/>
    </x:row>
    <x:row r="35">
      <x:c r="A35" s="78"/>
      <x:c r="B35" s="78" t="str">
        <x:v>Reporting</x:v>
      </x:c>
      <x:c r="C35" s="78" t="str">
        <x:v>Implement PDF / Excel export</x:v>
      </x:c>
      <x:c r="D35" s="78" t="str">
        <x:v>Tuan</x:v>
      </x:c>
      <x:c r="E35" s="78" t="n">
        <x:v>8</x:v>
      </x:c>
      <x:c r="F35" s="106" t="n">
        <x:v>8</x:v>
      </x:c>
      <x:c r="G35" s="106" t="n">
        <x:v>8</x:v>
      </x:c>
      <x:c r="H35" s="106" t="n">
        <x:v>8</x:v>
      </x:c>
      <x:c r="I35" s="106" t="n">
        <x:v>8</x:v>
      </x:c>
      <x:c r="J35" s="106" t="n">
        <x:v>8</x:v>
      </x:c>
      <x:c r="K35" s="106" t="n">
        <x:v>8</x:v>
      </x:c>
      <x:c r="L35" s="106" t="n">
        <x:v>8</x:v>
      </x:c>
      <x:c r="M35" s="106" t="n">
        <x:v>8</x:v>
      </x:c>
      <x:c r="N35" s="106" t="n">
        <x:v>8</x:v>
      </x:c>
      <x:c r="O35" s="106" t="n">
        <x:v>8</x:v>
      </x:c>
      <x:c r="P35" s="106" t="n">
        <x:v>6</x:v>
      </x:c>
      <x:c r="Q35" s="106" t="n">
        <x:v>4</x:v>
      </x:c>
      <x:c r="R35" s="106" t="n">
        <x:v>2</x:v>
      </x:c>
      <x:c r="S35" s="106" t="n">
        <x:v>0</x:v>
      </x:c>
      <x:c r="T35" s="106" t="n">
        <x:v>0</x:v>
      </x:c>
      <x:c r="U35" s="106" t="n">
        <x:v>0</x:v>
      </x:c>
      <x:c r="V35" s="106" t="n">
        <x:v>0</x:v>
      </x:c>
      <x:c r="W35" s="106" t="n">
        <x:v>0</x:v>
      </x:c>
      <x:c r="X35" s="106" t="n">
        <x:v>0</x:v>
      </x:c>
      <x:c r="Y35" s="106" t="n">
        <x:v>0</x:v>
      </x:c>
      <x:c r="Z35" s="106" t="n">
        <x:v>0</x:v>
      </x:c>
      <x:c r="AA35" t="n">
        <x:v>0</x:v>
      </x:c>
    </x:row>
    <x:row r="36">
      <x:c r="A36" s="78"/>
      <x:c r="B36" s="78" t="str">
        <x:v>Reporting</x:v>
      </x:c>
      <x:c r="C36" s="78" t="str">
        <x:v>Implement estimated labor-cost summary</x:v>
      </x:c>
      <x:c r="D36" s="78" t="str">
        <x:v>Nghia</x:v>
      </x:c>
      <x:c r="E36" s="78" t="n">
        <x:v>7</x:v>
      </x:c>
      <x:c r="F36" s="106" t="n">
        <x:v>7</x:v>
      </x:c>
      <x:c r="G36" s="106" t="n">
        <x:v>7</x:v>
      </x:c>
      <x:c r="H36" s="106" t="n">
        <x:v>7</x:v>
      </x:c>
      <x:c r="I36" s="106" t="n">
        <x:v>7</x:v>
      </x:c>
      <x:c r="J36" s="106" t="n">
        <x:v>7</x:v>
      </x:c>
      <x:c r="K36" s="106" t="n">
        <x:v>7</x:v>
      </x:c>
      <x:c r="L36" s="106" t="n">
        <x:v>7</x:v>
      </x:c>
      <x:c r="M36" s="106" t="n">
        <x:v>7</x:v>
      </x:c>
      <x:c r="N36" s="106" t="n">
        <x:v>7</x:v>
      </x:c>
      <x:c r="O36" s="106" t="n">
        <x:v>7</x:v>
      </x:c>
      <x:c r="P36" s="106" t="n">
        <x:v>7</x:v>
      </x:c>
      <x:c r="Q36" s="106" t="n">
        <x:v>5</x:v>
      </x:c>
      <x:c r="R36" s="106" t="n">
        <x:v>3.5</x:v>
      </x:c>
      <x:c r="S36" s="106" t="n">
        <x:v>2</x:v>
      </x:c>
      <x:c r="T36" s="106" t="n">
        <x:v>0</x:v>
      </x:c>
      <x:c r="U36" s="106" t="n">
        <x:v>0</x:v>
      </x:c>
      <x:c r="V36" s="106" t="n">
        <x:v>0</x:v>
      </x:c>
      <x:c r="W36" s="106" t="n">
        <x:v>0</x:v>
      </x:c>
      <x:c r="X36" s="106" t="n">
        <x:v>0</x:v>
      </x:c>
      <x:c r="Y36" s="106" t="n">
        <x:v>0</x:v>
      </x:c>
      <x:c r="Z36" s="106" t="n">
        <x:v>0</x:v>
      </x:c>
      <x:c r="AA36" t="n">
        <x:v>0</x:v>
      </x:c>
    </x:row>
    <x:row r="37">
      <x:c r="A37" s="78"/>
      <x:c r="B37" s="103" t="str">
        <x:v>AI</x:v>
      </x:c>
      <x:c r="C37" s="104"/>
      <x:c r="D37" s="104"/>
      <x:c r="E37" s="104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  <x:c r="V37" s="105"/>
      <x:c r="W37" s="105"/>
      <x:c r="X37" s="105"/>
      <x:c r="Y37" s="105"/>
      <x:c r="Z37" s="105"/>
      <x:c r="AA37"/>
    </x:row>
    <x:row r="38">
      <x:c r="A38" s="78"/>
      <x:c r="B38" s="78" t="str">
        <x:v>AI</x:v>
      </x:c>
      <x:c r="C38" s="78" t="str">
        <x:v>Build optional AI Service (FastAPI / LLM API)</x:v>
      </x:c>
      <x:c r="D38" s="78" t="str">
        <x:v>Luc</x:v>
      </x:c>
      <x:c r="E38" s="78" t="n">
        <x:v>10</x:v>
      </x:c>
      <x:c r="F38" s="106" t="n">
        <x:v>10</x:v>
      </x:c>
      <x:c r="G38" s="106" t="n">
        <x:v>10</x:v>
      </x:c>
      <x:c r="H38" s="106" t="n">
        <x:v>10</x:v>
      </x:c>
      <x:c r="I38" s="106" t="n">
        <x:v>10</x:v>
      </x:c>
      <x:c r="J38" s="106" t="n">
        <x:v>10</x:v>
      </x:c>
      <x:c r="K38" s="106" t="n">
        <x:v>8</x:v>
      </x:c>
      <x:c r="L38" s="106" t="n">
        <x:v>6</x:v>
      </x:c>
      <x:c r="M38" s="106" t="n">
        <x:v>4</x:v>
      </x:c>
      <x:c r="N38" s="106" t="n">
        <x:v>2</x:v>
      </x:c>
      <x:c r="O38" s="106" t="n">
        <x:v>0</x:v>
      </x:c>
      <x:c r="P38" s="106" t="n">
        <x:v>0</x:v>
      </x:c>
      <x:c r="Q38" s="106" t="n">
        <x:v>0</x:v>
      </x:c>
      <x:c r="R38" s="106" t="n">
        <x:v>0</x:v>
      </x:c>
      <x:c r="S38" s="106" t="n">
        <x:v>0</x:v>
      </x:c>
      <x:c r="T38" s="106" t="n">
        <x:v>0</x:v>
      </x:c>
      <x:c r="U38" s="106" t="n">
        <x:v>0</x:v>
      </x:c>
      <x:c r="V38" s="106" t="n">
        <x:v>0</x:v>
      </x:c>
      <x:c r="W38" s="106" t="n">
        <x:v>0</x:v>
      </x:c>
      <x:c r="X38" s="106" t="n">
        <x:v>0</x:v>
      </x:c>
      <x:c r="Y38" s="106" t="n">
        <x:v>0</x:v>
      </x:c>
      <x:c r="Z38" s="106" t="n">
        <x:v>0</x:v>
      </x:c>
      <x:c r="AA38" t="n">
        <x:v>0</x:v>
      </x:c>
    </x:row>
    <x:row r="39">
      <x:c r="A39" s="78"/>
      <x:c r="B39" s="78" t="str">
        <x:v>AI</x:v>
      </x:c>
      <x:c r="C39" s="78" t="str">
        <x:v>Implement verified-data explanation endpoints</x:v>
      </x:c>
      <x:c r="D39" s="78" t="str">
        <x:v>Luc</x:v>
      </x:c>
      <x:c r="E39" s="78" t="n">
        <x:v>8</x:v>
      </x:c>
      <x:c r="F39" s="106" t="n">
        <x:v>8</x:v>
      </x:c>
      <x:c r="G39" s="106" t="n">
        <x:v>8</x:v>
      </x:c>
      <x:c r="H39" s="106" t="n">
        <x:v>8</x:v>
      </x:c>
      <x:c r="I39" s="106" t="n">
        <x:v>8</x:v>
      </x:c>
      <x:c r="J39" s="106" t="n">
        <x:v>8</x:v>
      </x:c>
      <x:c r="K39" s="106" t="n">
        <x:v>8</x:v>
      </x:c>
      <x:c r="L39" s="106" t="n">
        <x:v>8</x:v>
      </x:c>
      <x:c r="M39" s="106" t="n">
        <x:v>8</x:v>
      </x:c>
      <x:c r="N39" s="106" t="n">
        <x:v>6</x:v>
      </x:c>
      <x:c r="O39" s="106" t="n">
        <x:v>4</x:v>
      </x:c>
      <x:c r="P39" s="106" t="n">
        <x:v>2</x:v>
      </x:c>
      <x:c r="Q39" s="106" t="n">
        <x:v>0</x:v>
      </x:c>
      <x:c r="R39" s="106" t="n">
        <x:v>0</x:v>
      </x:c>
      <x:c r="S39" s="106" t="n">
        <x:v>0</x:v>
      </x:c>
      <x:c r="T39" s="106" t="n">
        <x:v>0</x:v>
      </x:c>
      <x:c r="U39" s="106" t="n">
        <x:v>0</x:v>
      </x:c>
      <x:c r="V39" s="106" t="n">
        <x:v>0</x:v>
      </x:c>
      <x:c r="W39" s="106" t="n">
        <x:v>0</x:v>
      </x:c>
      <x:c r="X39" s="106" t="n">
        <x:v>0</x:v>
      </x:c>
      <x:c r="Y39" s="106" t="n">
        <x:v>0</x:v>
      </x:c>
      <x:c r="Z39" s="106" t="n">
        <x:v>0</x:v>
      </x:c>
      <x:c r="AA39" t="n">
        <x:v>0</x:v>
      </x:c>
    </x:row>
    <x:row r="40">
      <x:c r="A40" s="78"/>
      <x:c r="B40" s="78" t="str">
        <x:v>AI</x:v>
      </x:c>
      <x:c r="C40" s="78" t="str">
        <x:v>Implement AI graceful degradation / timeout</x:v>
      </x:c>
      <x:c r="D40" s="78" t="str">
        <x:v>Luc</x:v>
      </x:c>
      <x:c r="E40" s="78" t="n">
        <x:v>6</x:v>
      </x:c>
      <x:c r="F40" s="106" t="n">
        <x:v>6</x:v>
      </x:c>
      <x:c r="G40" s="106" t="n">
        <x:v>6</x:v>
      </x:c>
      <x:c r="H40" s="106" t="n">
        <x:v>6</x:v>
      </x:c>
      <x:c r="I40" s="106" t="n">
        <x:v>6</x:v>
      </x:c>
      <x:c r="J40" s="106" t="n">
        <x:v>6</x:v>
      </x:c>
      <x:c r="K40" s="106" t="n">
        <x:v>6</x:v>
      </x:c>
      <x:c r="L40" s="106" t="n">
        <x:v>6</x:v>
      </x:c>
      <x:c r="M40" s="106" t="n">
        <x:v>6</x:v>
      </x:c>
      <x:c r="N40" s="106" t="n">
        <x:v>6</x:v>
      </x:c>
      <x:c r="O40" s="106" t="n">
        <x:v>6</x:v>
      </x:c>
      <x:c r="P40" s="106" t="n">
        <x:v>4</x:v>
      </x:c>
      <x:c r="Q40" s="106" t="n">
        <x:v>2</x:v>
      </x:c>
      <x:c r="R40" s="106" t="n">
        <x:v>0</x:v>
      </x:c>
      <x:c r="S40" s="106" t="n">
        <x:v>0</x:v>
      </x:c>
      <x:c r="T40" s="106" t="n">
        <x:v>0</x:v>
      </x:c>
      <x:c r="U40" s="106" t="n">
        <x:v>0</x:v>
      </x:c>
      <x:c r="V40" s="106" t="n">
        <x:v>0</x:v>
      </x:c>
      <x:c r="W40" s="106" t="n">
        <x:v>0</x:v>
      </x:c>
      <x:c r="X40" s="106" t="n">
        <x:v>0</x:v>
      </x:c>
      <x:c r="Y40" s="106" t="n">
        <x:v>0</x:v>
      </x:c>
      <x:c r="Z40" s="106" t="n">
        <x:v>0</x:v>
      </x:c>
      <x:c r="AA40" t="n">
        <x:v>0</x:v>
      </x:c>
    </x:row>
    <x:row r="41">
      <x:c r="A41" s="78"/>
      <x:c r="B41" s="103" t="str">
        <x:v>Monitoring</x:v>
      </x:c>
      <x:c r="C41" s="104"/>
      <x:c r="D41" s="104"/>
      <x:c r="E41" s="104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  <x:c r="V41" s="105"/>
      <x:c r="W41" s="105"/>
      <x:c r="X41" s="105"/>
      <x:c r="Y41" s="105"/>
      <x:c r="Z41" s="105"/>
      <x:c r="AA41"/>
    </x:row>
    <x:row r="42">
      <x:c r="A42" s="78"/>
      <x:c r="B42" s="78" t="str">
        <x:v>Monitoring</x:v>
      </x:c>
      <x:c r="C42" s="78" t="str">
        <x:v>Implement service health / job-status page</x:v>
      </x:c>
      <x:c r="D42" s="78" t="str">
        <x:v>Quan</x:v>
      </x:c>
      <x:c r="E42" s="78" t="n">
        <x:v>7</x:v>
      </x:c>
      <x:c r="F42" s="106" t="n">
        <x:v>7</x:v>
      </x:c>
      <x:c r="G42" s="106" t="n">
        <x:v>7</x:v>
      </x:c>
      <x:c r="H42" s="106" t="n">
        <x:v>7</x:v>
      </x:c>
      <x:c r="I42" s="106" t="n">
        <x:v>7</x:v>
      </x:c>
      <x:c r="J42" s="106" t="n">
        <x:v>7</x:v>
      </x:c>
      <x:c r="K42" s="106" t="n">
        <x:v>7</x:v>
      </x:c>
      <x:c r="L42" s="106" t="n">
        <x:v>7</x:v>
      </x:c>
      <x:c r="M42" s="106" t="n">
        <x:v>7</x:v>
      </x:c>
      <x:c r="N42" s="106" t="n">
        <x:v>7</x:v>
      </x:c>
      <x:c r="O42" s="106" t="n">
        <x:v>7</x:v>
      </x:c>
      <x:c r="P42" s="106" t="n">
        <x:v>5</x:v>
      </x:c>
      <x:c r="Q42" s="106" t="n">
        <x:v>3.5</x:v>
      </x:c>
      <x:c r="R42" s="106" t="n">
        <x:v>2</x:v>
      </x:c>
      <x:c r="S42" s="106" t="n">
        <x:v>0</x:v>
      </x:c>
      <x:c r="T42" s="106" t="n">
        <x:v>0</x:v>
      </x:c>
      <x:c r="U42" s="106" t="n">
        <x:v>0</x:v>
      </x:c>
      <x:c r="V42" s="106" t="n">
        <x:v>0</x:v>
      </x:c>
      <x:c r="W42" s="106" t="n">
        <x:v>0</x:v>
      </x:c>
      <x:c r="X42" s="106" t="n">
        <x:v>0</x:v>
      </x:c>
      <x:c r="Y42" s="106" t="n">
        <x:v>0</x:v>
      </x:c>
      <x:c r="Z42" s="106" t="n">
        <x:v>0</x:v>
      </x:c>
      <x:c r="AA42" t="n">
        <x:v>0</x:v>
      </x:c>
    </x:row>
    <x:row r="43">
      <x:c r="A43" s="78"/>
      <x:c r="B43" s="103" t="str">
        <x:v>React Native</x:v>
      </x:c>
      <x:c r="C43" s="104"/>
      <x:c r="D43" s="104"/>
      <x:c r="E43" s="104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  <x:c r="V43" s="105"/>
      <x:c r="W43" s="105"/>
      <x:c r="X43" s="105"/>
      <x:c r="Y43" s="105"/>
      <x:c r="Z43" s="105"/>
      <x:c r="AA43"/>
    </x:row>
    <x:row r="44">
      <x:c r="A44" s="78"/>
      <x:c r="B44" s="78" t="str">
        <x:v>React Native</x:v>
      </x:c>
      <x:c r="C44" s="78" t="str">
        <x:v>Implement Timesheet &amp; notification views (React Native)</x:v>
      </x:c>
      <x:c r="D44" s="78" t="str">
        <x:v>Quan</x:v>
      </x:c>
      <x:c r="E44" s="78" t="n">
        <x:v>8</x:v>
      </x:c>
      <x:c r="F44" s="106" t="n">
        <x:v>8</x:v>
      </x:c>
      <x:c r="G44" s="106" t="n">
        <x:v>8</x:v>
      </x:c>
      <x:c r="H44" s="106" t="n">
        <x:v>8</x:v>
      </x:c>
      <x:c r="I44" s="106" t="n">
        <x:v>8</x:v>
      </x:c>
      <x:c r="J44" s="106" t="n">
        <x:v>8</x:v>
      </x:c>
      <x:c r="K44" s="106" t="n">
        <x:v>8</x:v>
      </x:c>
      <x:c r="L44" s="106" t="n">
        <x:v>8</x:v>
      </x:c>
      <x:c r="M44" s="106" t="n">
        <x:v>8</x:v>
      </x:c>
      <x:c r="N44" s="106" t="n">
        <x:v>6</x:v>
      </x:c>
      <x:c r="O44" s="106" t="n">
        <x:v>4</x:v>
      </x:c>
      <x:c r="P44" s="106" t="n">
        <x:v>2</x:v>
      </x:c>
      <x:c r="Q44" s="106" t="n">
        <x:v>0</x:v>
      </x:c>
      <x:c r="R44" s="106" t="n">
        <x:v>0</x:v>
      </x:c>
      <x:c r="S44" s="106" t="n">
        <x:v>0</x:v>
      </x:c>
      <x:c r="T44" s="106" t="n">
        <x:v>0</x:v>
      </x:c>
      <x:c r="U44" s="106" t="n">
        <x:v>0</x:v>
      </x:c>
      <x:c r="V44" s="106" t="n">
        <x:v>0</x:v>
      </x:c>
      <x:c r="W44" s="106" t="n">
        <x:v>0</x:v>
      </x:c>
      <x:c r="X44" s="106" t="n">
        <x:v>0</x:v>
      </x:c>
      <x:c r="Y44" s="106" t="n">
        <x:v>0</x:v>
      </x:c>
      <x:c r="Z44" s="106" t="n">
        <x:v>0</x:v>
      </x:c>
      <x:c r="AA44" t="n">
        <x:v>0</x:v>
      </x:c>
    </x:row>
    <x:row r="45">
      <x:c r="A45" s="78"/>
      <x:c r="B45" s="103" t="str">
        <x:v>Quality</x:v>
      </x:c>
      <x:c r="C45" s="104"/>
      <x:c r="D45" s="104"/>
      <x:c r="E45" s="104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  <x:c r="V45" s="105"/>
      <x:c r="W45" s="105"/>
      <x:c r="X45" s="105"/>
      <x:c r="Y45" s="105"/>
      <x:c r="Z45" s="105"/>
      <x:c r="AA45"/>
    </x:row>
    <x:row r="46">
      <x:c r="A46" s="78"/>
      <x:c r="B46" s="78" t="str">
        <x:v>Quality</x:v>
      </x:c>
      <x:c r="C46" s="78" t="str">
        <x:v>Responsive React Web / React Native UI refinement</x:v>
      </x:c>
      <x:c r="D46" s="78" t="str">
        <x:v>Quan</x:v>
      </x:c>
      <x:c r="E46" s="78" t="n">
        <x:v>7</x:v>
      </x:c>
      <x:c r="F46" s="106" t="n">
        <x:v>7</x:v>
      </x:c>
      <x:c r="G46" s="106" t="n">
        <x:v>7</x:v>
      </x:c>
      <x:c r="H46" s="106" t="n">
        <x:v>7</x:v>
      </x:c>
      <x:c r="I46" s="106" t="n">
        <x:v>7</x:v>
      </x:c>
      <x:c r="J46" s="106" t="n">
        <x:v>7</x:v>
      </x:c>
      <x:c r="K46" s="106" t="n">
        <x:v>7</x:v>
      </x:c>
      <x:c r="L46" s="106" t="n">
        <x:v>7</x:v>
      </x:c>
      <x:c r="M46" s="106" t="n">
        <x:v>7</x:v>
      </x:c>
      <x:c r="N46" s="106" t="n">
        <x:v>7</x:v>
      </x:c>
      <x:c r="O46" s="106" t="n">
        <x:v>7</x:v>
      </x:c>
      <x:c r="P46" s="106" t="n">
        <x:v>7</x:v>
      </x:c>
      <x:c r="Q46" s="106" t="n">
        <x:v>7</x:v>
      </x:c>
      <x:c r="R46" s="106" t="n">
        <x:v>5</x:v>
      </x:c>
      <x:c r="S46" s="106" t="n">
        <x:v>3.5</x:v>
      </x:c>
      <x:c r="T46" s="106" t="n">
        <x:v>2</x:v>
      </x:c>
      <x:c r="U46" s="106" t="n">
        <x:v>0</x:v>
      </x:c>
      <x:c r="V46" s="106" t="n">
        <x:v>0</x:v>
      </x:c>
      <x:c r="W46" s="106" t="n">
        <x:v>0</x:v>
      </x:c>
      <x:c r="X46" s="106" t="n">
        <x:v>0</x:v>
      </x:c>
      <x:c r="Y46" s="106" t="n">
        <x:v>0</x:v>
      </x:c>
      <x:c r="Z46" s="106" t="n">
        <x:v>0</x:v>
      </x:c>
      <x:c r="AA46" t="n">
        <x:v>0</x:v>
      </x:c>
    </x:row>
    <x:row r="47">
      <x:c r="A47" s="78"/>
      <x:c r="B47" s="103" t="str">
        <x:v>Testing</x:v>
      </x:c>
      <x:c r="C47" s="104"/>
      <x:c r="D47" s="104"/>
      <x:c r="E47" s="104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  <x:c r="V47" s="105"/>
      <x:c r="W47" s="105"/>
      <x:c r="X47" s="105"/>
      <x:c r="Y47" s="105"/>
      <x:c r="Z47" s="105"/>
      <x:c r="AA47"/>
    </x:row>
    <x:row r="48">
      <x:c r="A48" s="78"/>
      <x:c r="B48" s="78" t="str">
        <x:v>Testing</x:v>
      </x:c>
      <x:c r="C48" s="78" t="str">
        <x:v>End-to-End workflow test</x:v>
      </x:c>
      <x:c r="D48" s="78" t="str">
        <x:v>Hien</x:v>
      </x:c>
      <x:c r="E48" s="78" t="n">
        <x:v>8</x:v>
      </x:c>
      <x:c r="F48" s="106" t="n">
        <x:v>8</x:v>
      </x:c>
      <x:c r="G48" s="106" t="n">
        <x:v>8</x:v>
      </x:c>
      <x:c r="H48" s="106" t="n">
        <x:v>8</x:v>
      </x:c>
      <x:c r="I48" s="106" t="n">
        <x:v>8</x:v>
      </x:c>
      <x:c r="J48" s="106" t="n">
        <x:v>8</x:v>
      </x:c>
      <x:c r="K48" s="106" t="n">
        <x:v>8</x:v>
      </x:c>
      <x:c r="L48" s="106" t="n">
        <x:v>8</x:v>
      </x:c>
      <x:c r="M48" s="106" t="n">
        <x:v>8</x:v>
      </x:c>
      <x:c r="N48" s="106" t="n">
        <x:v>8</x:v>
      </x:c>
      <x:c r="O48" s="106" t="n">
        <x:v>8</x:v>
      </x:c>
      <x:c r="P48" s="106" t="n">
        <x:v>8</x:v>
      </x:c>
      <x:c r="Q48" s="106" t="n">
        <x:v>8</x:v>
      </x:c>
      <x:c r="R48" s="106" t="n">
        <x:v>8</x:v>
      </x:c>
      <x:c r="S48" s="106" t="n">
        <x:v>6</x:v>
      </x:c>
      <x:c r="T48" s="106" t="n">
        <x:v>4</x:v>
      </x:c>
      <x:c r="U48" s="106" t="n">
        <x:v>2</x:v>
      </x:c>
      <x:c r="V48" s="106" t="n">
        <x:v>0</x:v>
      </x:c>
      <x:c r="W48" s="106" t="n">
        <x:v>0</x:v>
      </x:c>
      <x:c r="X48" s="106" t="n">
        <x:v>0</x:v>
      </x:c>
      <x:c r="Y48" s="106" t="n">
        <x:v>0</x:v>
      </x:c>
      <x:c r="Z48" s="106" t="n">
        <x:v>0</x:v>
      </x:c>
      <x:c r="AA48" t="n">
        <x:v>0</x:v>
      </x:c>
    </x:row>
    <x:row r="49">
      <x:c r="A49" s="78"/>
      <x:c r="B49" s="78" t="str">
        <x:v>Testing</x:v>
      </x:c>
      <x:c r="C49" s="78" t="str">
        <x:v>Security / RBAC regression tests</x:v>
      </x:c>
      <x:c r="D49" s="78" t="str">
        <x:v>Tuan</x:v>
      </x:c>
      <x:c r="E49" s="78" t="n">
        <x:v>7</x:v>
      </x:c>
      <x:c r="F49" s="106" t="n">
        <x:v>7</x:v>
      </x:c>
      <x:c r="G49" s="106" t="n">
        <x:v>7</x:v>
      </x:c>
      <x:c r="H49" s="106" t="n">
        <x:v>7</x:v>
      </x:c>
      <x:c r="I49" s="106" t="n">
        <x:v>7</x:v>
      </x:c>
      <x:c r="J49" s="106" t="n">
        <x:v>7</x:v>
      </x:c>
      <x:c r="K49" s="106" t="n">
        <x:v>7</x:v>
      </x:c>
      <x:c r="L49" s="106" t="n">
        <x:v>7</x:v>
      </x:c>
      <x:c r="M49" s="106" t="n">
        <x:v>7</x:v>
      </x:c>
      <x:c r="N49" s="106" t="n">
        <x:v>7</x:v>
      </x:c>
      <x:c r="O49" s="106" t="n">
        <x:v>7</x:v>
      </x:c>
      <x:c r="P49" s="106" t="n">
        <x:v>7</x:v>
      </x:c>
      <x:c r="Q49" s="106" t="n">
        <x:v>7</x:v>
      </x:c>
      <x:c r="R49" s="106" t="n">
        <x:v>7</x:v>
      </x:c>
      <x:c r="S49" s="106" t="n">
        <x:v>7</x:v>
      </x:c>
      <x:c r="T49" s="106" t="n">
        <x:v>4.5</x:v>
      </x:c>
      <x:c r="U49" s="106" t="n">
        <x:v>2.5</x:v>
      </x:c>
      <x:c r="V49" s="106" t="n">
        <x:v>0</x:v>
      </x:c>
      <x:c r="W49" s="106" t="n">
        <x:v>0</x:v>
      </x:c>
      <x:c r="X49" s="106" t="n">
        <x:v>0</x:v>
      </x:c>
      <x:c r="Y49" s="106" t="n">
        <x:v>0</x:v>
      </x:c>
      <x:c r="Z49" s="106" t="n">
        <x:v>0</x:v>
      </x:c>
      <x:c r="AA49" t="n">
        <x:v>0</x:v>
      </x:c>
    </x:row>
    <x:row r="50">
      <x:c r="A50" s="78"/>
      <x:c r="B50" s="78" t="str">
        <x:v>Testing</x:v>
      </x:c>
      <x:c r="C50" s="78" t="str">
        <x:v>Graceful degradation tests for AI/Scheduling</x:v>
      </x:c>
      <x:c r="D50" s="78" t="str">
        <x:v>Luc</x:v>
      </x:c>
      <x:c r="E50" s="78" t="n">
        <x:v>7</x:v>
      </x:c>
      <x:c r="F50" s="106" t="n">
        <x:v>7</x:v>
      </x:c>
      <x:c r="G50" s="106" t="n">
        <x:v>7</x:v>
      </x:c>
      <x:c r="H50" s="106" t="n">
        <x:v>7</x:v>
      </x:c>
      <x:c r="I50" s="106" t="n">
        <x:v>7</x:v>
      </x:c>
      <x:c r="J50" s="106" t="n">
        <x:v>7</x:v>
      </x:c>
      <x:c r="K50" s="106" t="n">
        <x:v>7</x:v>
      </x:c>
      <x:c r="L50" s="106" t="n">
        <x:v>7</x:v>
      </x:c>
      <x:c r="M50" s="106" t="n">
        <x:v>7</x:v>
      </x:c>
      <x:c r="N50" s="106" t="n">
        <x:v>7</x:v>
      </x:c>
      <x:c r="O50" s="106" t="n">
        <x:v>7</x:v>
      </x:c>
      <x:c r="P50" s="106" t="n">
        <x:v>7</x:v>
      </x:c>
      <x:c r="Q50" s="106" t="n">
        <x:v>7</x:v>
      </x:c>
      <x:c r="R50" s="106" t="n">
        <x:v>7</x:v>
      </x:c>
      <x:c r="S50" s="106" t="n">
        <x:v>7</x:v>
      </x:c>
      <x:c r="T50" s="106" t="n">
        <x:v>4.5</x:v>
      </x:c>
      <x:c r="U50" s="106" t="n">
        <x:v>2.5</x:v>
      </x:c>
      <x:c r="V50" s="106" t="n">
        <x:v>0</x:v>
      </x:c>
      <x:c r="W50" s="106" t="n">
        <x:v>0</x:v>
      </x:c>
      <x:c r="X50" s="106" t="n">
        <x:v>0</x:v>
      </x:c>
      <x:c r="Y50" s="106" t="n">
        <x:v>0</x:v>
      </x:c>
      <x:c r="Z50" s="106" t="n">
        <x:v>0</x:v>
      </x:c>
      <x:c r="AA50" t="n">
        <x:v>0</x:v>
      </x:c>
    </x:row>
    <x:row r="51">
      <x:c r="A51" s="78"/>
      <x:c r="B51" s="78" t="str">
        <x:v>Testing</x:v>
      </x:c>
      <x:c r="C51" s="78" t="str">
        <x:v>Performance &amp; data integrity tests</x:v>
      </x:c>
      <x:c r="D51" s="78" t="str">
        <x:v>Nghia</x:v>
      </x:c>
      <x:c r="E51" s="78" t="n">
        <x:v>7</x:v>
      </x:c>
      <x:c r="F51" s="106" t="n">
        <x:v>7</x:v>
      </x:c>
      <x:c r="G51" s="106" t="n">
        <x:v>7</x:v>
      </x:c>
      <x:c r="H51" s="106" t="n">
        <x:v>7</x:v>
      </x:c>
      <x:c r="I51" s="106" t="n">
        <x:v>7</x:v>
      </x:c>
      <x:c r="J51" s="106" t="n">
        <x:v>7</x:v>
      </x:c>
      <x:c r="K51" s="106" t="n">
        <x:v>7</x:v>
      </x:c>
      <x:c r="L51" s="106" t="n">
        <x:v>7</x:v>
      </x:c>
      <x:c r="M51" s="106" t="n">
        <x:v>7</x:v>
      </x:c>
      <x:c r="N51" s="106" t="n">
        <x:v>7</x:v>
      </x:c>
      <x:c r="O51" s="106" t="n">
        <x:v>7</x:v>
      </x:c>
      <x:c r="P51" s="106" t="n">
        <x:v>7</x:v>
      </x:c>
      <x:c r="Q51" s="106" t="n">
        <x:v>7</x:v>
      </x:c>
      <x:c r="R51" s="106" t="n">
        <x:v>7</x:v>
      </x:c>
      <x:c r="S51" s="106" t="n">
        <x:v>7</x:v>
      </x:c>
      <x:c r="T51" s="106" t="n">
        <x:v>7</x:v>
      </x:c>
      <x:c r="U51" s="106" t="n">
        <x:v>4.5</x:v>
      </x:c>
      <x:c r="V51" s="106" t="n">
        <x:v>2.5</x:v>
      </x:c>
      <x:c r="W51" s="106" t="n">
        <x:v>0</x:v>
      </x:c>
      <x:c r="X51" s="106" t="n">
        <x:v>0</x:v>
      </x:c>
      <x:c r="Y51" s="106" t="n">
        <x:v>0</x:v>
      </x:c>
      <x:c r="Z51" s="106" t="n">
        <x:v>0</x:v>
      </x:c>
      <x:c r="AA51" t="n">
        <x:v>0</x:v>
      </x:c>
    </x:row>
    <x:row r="52">
      <x:c r="A52" s="78"/>
      <x:c r="B52" s="103" t="str">
        <x:v>Release</x:v>
      </x:c>
      <x:c r="C52" s="104"/>
      <x:c r="D52" s="104"/>
      <x:c r="E52" s="104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  <x:c r="V52" s="105"/>
      <x:c r="W52" s="105"/>
      <x:c r="X52" s="105"/>
      <x:c r="Y52" s="105"/>
      <x:c r="Z52" s="105"/>
      <x:c r="AA52"/>
    </x:row>
    <x:row r="53">
      <x:c r="A53" s="78"/>
      <x:c r="B53" s="78" t="str">
        <x:v>Release</x:v>
      </x:c>
      <x:c r="C53" s="78" t="str">
        <x:v>System integration, bug fixing &amp; Sprint 4 release</x:v>
      </x:c>
      <x:c r="D53" s="78" t="str">
        <x:v>Quan</x:v>
      </x:c>
      <x:c r="E53" s="78" t="n">
        <x:v>10</x:v>
      </x:c>
      <x:c r="F53" s="106" t="n">
        <x:v>10</x:v>
      </x:c>
      <x:c r="G53" s="106" t="n">
        <x:v>10</x:v>
      </x:c>
      <x:c r="H53" s="106" t="n">
        <x:v>10</x:v>
      </x:c>
      <x:c r="I53" s="106" t="n">
        <x:v>10</x:v>
      </x:c>
      <x:c r="J53" s="106" t="n">
        <x:v>10</x:v>
      </x:c>
      <x:c r="K53" s="106" t="n">
        <x:v>10</x:v>
      </x:c>
      <x:c r="L53" s="106" t="n">
        <x:v>10</x:v>
      </x:c>
      <x:c r="M53" s="106" t="n">
        <x:v>10</x:v>
      </x:c>
      <x:c r="N53" s="106" t="n">
        <x:v>10</x:v>
      </x:c>
      <x:c r="O53" s="106" t="n">
        <x:v>10</x:v>
      </x:c>
      <x:c r="P53" s="106" t="n">
        <x:v>10</x:v>
      </x:c>
      <x:c r="Q53" s="106" t="n">
        <x:v>10</x:v>
      </x:c>
      <x:c r="R53" s="106" t="n">
        <x:v>10</x:v>
      </x:c>
      <x:c r="S53" s="106" t="n">
        <x:v>10</x:v>
      </x:c>
      <x:c r="T53" s="106" t="n">
        <x:v>10</x:v>
      </x:c>
      <x:c r="U53" s="106" t="n">
        <x:v>10</x:v>
      </x:c>
      <x:c r="V53" s="106" t="n">
        <x:v>10</x:v>
      </x:c>
      <x:c r="W53" s="106" t="n">
        <x:v>7.5</x:v>
      </x:c>
      <x:c r="X53" s="106" t="n">
        <x:v>5</x:v>
      </x:c>
      <x:c r="Y53" s="106" t="n">
        <x:v>2.5</x:v>
      </x:c>
      <x:c r="Z53" s="106" t="n">
        <x:v>0</x:v>
      </x:c>
      <x:c r="AA53" t="n">
        <x:v>0</x:v>
      </x:c>
    </x:row>
    <x:row r="54">
      <x:c r="A54" s="78"/>
      <x:c r="B54" s="78"/>
      <x:c r="C54" s="78"/>
      <x:c r="D54" s="107" t="str">
        <x:v>TOTAL</x:v>
      </x:c>
      <x:c r="E54" s="107" t="n">
        <x:f>SUM(E16:E53)</x:f>
        <x:v>186</x:v>
      </x:c>
      <x:c r="F54" s="108" t="n">
        <x:f>SUM(F16:F53)</x:f>
        <x:v>181</x:v>
      </x:c>
      <x:c r="G54" s="108" t="n">
        <x:f>SUM(G16:G53)</x:f>
        <x:v>177.5</x:v>
      </x:c>
      <x:c r="H54" s="108" t="n">
        <x:f>SUM(H16:H53)</x:f>
        <x:v>172</x:v>
      </x:c>
      <x:c r="I54" s="108" t="n">
        <x:f>SUM(I16:I53)</x:f>
        <x:v>164.5</x:v>
      </x:c>
      <x:c r="J54" s="108" t="n">
        <x:f>SUM(J16:J53)</x:f>
        <x:v>157</x:v>
      </x:c>
      <x:c r="K54" s="108" t="n">
        <x:f>SUM(K16:K53)</x:f>
        <x:v>149</x:v>
      </x:c>
      <x:c r="L54" s="108" t="n">
        <x:f>SUM(L16:L53)</x:f>
        <x:v>139</x:v>
      </x:c>
      <x:c r="M54" s="108" t="n">
        <x:f>SUM(M16:M53)</x:f>
        <x:v>129.5</x:v>
      </x:c>
      <x:c r="N54" s="108" t="n">
        <x:f>SUM(N16:N53)</x:f>
        <x:v>113.5</x:v>
      </x:c>
      <x:c r="O54" s="108" t="n">
        <x:f>SUM(O16:O53)</x:f>
        <x:v>97.5</x:v>
      </x:c>
      <x:c r="P54" s="108" t="n">
        <x:f>SUM(P16:P53)</x:f>
        <x:v>79.5</x:v>
      </x:c>
      <x:c r="Q54" s="108" t="n">
        <x:f>SUM(Q16:Q53)</x:f>
        <x:v>64</x:v>
      </x:c>
      <x:c r="R54" s="108" t="n">
        <x:f>SUM(R16:R53)</x:f>
        <x:v>53.5</x:v>
      </x:c>
      <x:c r="S54" s="108" t="n">
        <x:f>SUM(S16:S53)</x:f>
        <x:v>42.5</x:v>
      </x:c>
      <x:c r="T54" s="108" t="n">
        <x:f>SUM(T16:T53)</x:f>
        <x:v>32</x:v>
      </x:c>
      <x:c r="U54" s="108" t="n">
        <x:f>SUM(U16:U53)</x:f>
        <x:v>21.5</x:v>
      </x:c>
      <x:c r="V54" s="108" t="n">
        <x:f>SUM(V16:V53)</x:f>
        <x:v>12.5</x:v>
      </x:c>
      <x:c r="W54" s="108" t="n">
        <x:f>SUM(W16:W53)</x:f>
        <x:v>7.5</x:v>
      </x:c>
      <x:c r="X54" s="108" t="n">
        <x:f>SUM(X16:X53)</x:f>
        <x:v>5</x:v>
      </x:c>
      <x:c r="Y54" s="108" t="n">
        <x:f>SUM(Y16:Y53)</x:f>
        <x:v>2.5</x:v>
      </x:c>
      <x:c r="Z54" s="108" t="n">
        <x:f>SUM(Z16:Z53)</x:f>
        <x:v>0</x:v>
      </x:c>
      <x:c r="AA54" t="n">
        <x:f>SUM(AA16:AA53)</x:f>
        <x:v>0</x:v>
      </x:c>
    </x:row>
  </x:sheetData>
  <x:mergeCells>
    <x:mergeCell ref="B16:C16"/>
    <x:mergeCell ref="B19:C19"/>
    <x:mergeCell ref="B23:C23"/>
    <x:mergeCell ref="B25:C25"/>
    <x:mergeCell ref="B29:C29"/>
    <x:mergeCell ref="B31:C31"/>
    <x:mergeCell ref="B34:C34"/>
    <x:mergeCell ref="B37:C37"/>
    <x:mergeCell ref="B41:C41"/>
    <x:mergeCell ref="B43:C43"/>
    <x:mergeCell ref="B45:C45"/>
    <x:mergeCell ref="B47:C47"/>
    <x:mergeCell ref="B52:C5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20" hidden="0" customWidth="1"/>
    <x:col min="5" max="5" width="10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</x:cols>
  <x:sheetData>
    <x:row r="1">
      <x:c r="A1" s="94" t="str">
        <x:v>Project Name:</x:v>
      </x:c>
      <x:c r="B1" s="45"/>
      <x:c r="C1" s="94" t="str">
        <x:v>Smart Scheduling - Website for Automated Staff Scheduling and Shift</x:v>
      </x:c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/>
    </x:row>
    <x:row r="2">
      <x:c r="A2" s="94" t="str">
        <x:v>Module Name:</x:v>
      </x:c>
      <x:c r="B2" s="45"/>
      <x:c r="C2" s="94" t="str">
        <x:v>Sprint 4 - Timesheet, Reporting, AI Assistant &amp; System Hardening</x:v>
      </x:c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/>
    </x:row>
    <x:row r="3">
      <x:c r="A3" s="94" t="str">
        <x:v>Development Team:</x:v>
      </x:c>
      <x:c r="B3" s="45"/>
      <x:c r="C3" s="94" t="str">
        <x:v>C1SE.57</x:v>
      </x:c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/>
    </x:row>
    <x:row r="4">
      <x:c r="A4" s="94" t="str">
        <x:v>Start Date:</x:v>
      </x:c>
      <x:c r="B4" s="45"/>
      <x:c r="C4" s="95" t="n">
        <x:v>46332</x:v>
      </x:c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  <x:c r="AA4"/>
    </x:row>
    <x:row r="5">
      <x:c r="A5" s="94" t="str">
        <x:v>End Date:</x:v>
      </x:c>
      <x:c r="B5" s="45"/>
      <x:c r="C5" s="95" t="n">
        <x:v>46353</x:v>
      </x:c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  <x:c r="AA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/>
    </x:row>
    <x:row r="7">
      <x:c r="A7" s="45"/>
      <x:c r="B7" s="45"/>
      <x:c r="C7" s="45"/>
      <x:c r="D7" s="45"/>
      <x:c r="E7" s="45"/>
      <x:c r="F7" s="45"/>
      <x:c r="G7" s="45"/>
      <x:c r="H7" s="96" t="str">
        <x:v>On Time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/>
    </x:row>
    <x:row r="8">
      <x:c r="A8" s="97" t="str">
        <x:v>No.</x:v>
      </x:c>
      <x:c r="B8" s="97" t="str">
        <x:v>Member Name</x:v>
      </x:c>
      <x:c r="C8" s="97" t="str">
        <x:v>Full Name</x:v>
      </x:c>
      <x:c r="D8" s="97" t="str">
        <x:v>Estimate</x:v>
      </x:c>
      <x:c r="E8" s="97" t="str">
        <x:v>Actual</x:v>
      </x:c>
      <x:c r="F8" s="45"/>
      <x:c r="G8" s="45"/>
      <x:c r="H8" s="98" t="str">
        <x:v>Lately</x:v>
      </x:c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/>
    </x:row>
    <x:row r="9">
      <x:c r="A9" s="78" t="n">
        <x:v>1</x:v>
      </x:c>
      <x:c r="B9" s="78" t="str">
        <x:v>Tuan</x:v>
      </x:c>
      <x:c r="C9" s="78" t="str">
        <x:v>Lê Hà Đức Tuấn</x:v>
      </x:c>
      <x:c r="D9" s="78" t="n">
        <x:f>SUMIF(Estimate!$D$16:$D$53,B9,Estimate!$E$16:$E$53)</x:f>
        <x:v>40</x:v>
      </x:c>
      <x:c r="E9" s="78" t="n">
        <x:f>SUMIF($D$16:$D$53,B9,$E$16:$E$53)</x:f>
        <x:v>0</x:v>
      </x:c>
      <x:c r="F9" s="45"/>
      <x:c r="G9" s="45"/>
      <x:c r="H9" s="99" t="str">
        <x:v>Early</x:v>
      </x:c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/>
    </x:row>
    <x:row r="10">
      <x:c r="A10" s="78" t="n">
        <x:v>2</x:v>
      </x:c>
      <x:c r="B10" s="78" t="str">
        <x:v>Hien</x:v>
      </x:c>
      <x:c r="C10" s="78" t="str">
        <x:v>Lê Trần Thanh Hiền</x:v>
      </x:c>
      <x:c r="D10" s="78" t="n">
        <x:f>SUMIF(Estimate!$D$16:$D$53,B10,Estimate!$E$16:$E$53)</x:f>
        <x:v>37</x:v>
      </x:c>
      <x:c r="E10" s="78" t="n">
        <x:f>SUMIF($D$16:$D$53,B10,$E$16:$E$53)</x:f>
        <x:v>0</x:v>
      </x:c>
      <x:c r="F10" s="45"/>
      <x:c r="G10" s="45"/>
      <x:c r="H10" s="100" t="str">
        <x:v>Unfinished</x:v>
      </x:c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/>
    </x:row>
    <x:row r="11">
      <x:c r="A11" s="78" t="n">
        <x:v>3</x:v>
      </x:c>
      <x:c r="B11" s="78" t="str">
        <x:v>Nghia</x:v>
      </x:c>
      <x:c r="C11" s="78" t="str">
        <x:v>Lê Đình Nghĩa</x:v>
      </x:c>
      <x:c r="D11" s="78" t="n">
        <x:f>SUMIF(Estimate!$D$16:$D$53,B11,Estimate!$E$16:$E$53)</x:f>
        <x:v>41</x:v>
      </x:c>
      <x:c r="E11" s="78" t="n">
        <x:f>SUMIF($D$16:$D$53,B11,$E$16:$E$53)</x:f>
        <x:v>0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/>
    </x:row>
    <x:row r="12">
      <x:c r="A12" s="78" t="n">
        <x:v>4</x:v>
      </x:c>
      <x:c r="B12" s="78" t="str">
        <x:v>Quan</x:v>
      </x:c>
      <x:c r="C12" s="78" t="str">
        <x:v>Huỳnh Văn Minh Quân</x:v>
      </x:c>
      <x:c r="D12" s="78" t="n">
        <x:f>SUMIF(Estimate!$D$16:$D$53,B12,Estimate!$E$16:$E$53)</x:f>
        <x:v>37</x:v>
      </x:c>
      <x:c r="E12" s="78" t="n">
        <x:f>SUMIF($D$16:$D$53,B12,$E$16:$E$53)</x:f>
        <x:v>0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/>
    </x:row>
    <x:row r="13">
      <x:c r="A13" s="78" t="n">
        <x:v>5</x:v>
      </x:c>
      <x:c r="B13" s="78" t="str">
        <x:v>Luc</x:v>
      </x:c>
      <x:c r="C13" s="78" t="str">
        <x:v>Huỳnh Vũ Lực</x:v>
      </x:c>
      <x:c r="D13" s="78" t="n">
        <x:f>SUMIF(Estimate!$D$16:$D$53,B13,Estimate!$E$16:$E$53)</x:f>
        <x:v>31</x:v>
      </x:c>
      <x:c r="E13" s="78" t="n">
        <x:f>SUMIF($D$16:$D$53,B13,$E$16:$E$53)</x:f>
        <x:v>0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/>
    </x:row>
    <x:row r="14">
      <x:c r="A14" s="78" t="str">
        <x:v>Total</x:v>
      </x:c>
      <x:c r="B14" s="78"/>
      <x:c r="C14" s="78"/>
      <x:c r="D14" s="78" t="n">
        <x:f>SUM(D9:D13)</x:f>
        <x:v>186</x:v>
      </x:c>
      <x:c r="E14" s="78" t="n">
        <x:f>SUM(E9:E13)</x:f>
        <x:v>0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/>
    </x:row>
    <x:row r="15">
      <x:c r="A15" s="101" t="str">
        <x:v>SPRINT 4 REPORT</x:v>
      </x:c>
      <x:c r="B15" s="101" t="str">
        <x:v>Component</x:v>
      </x:c>
      <x:c r="C15" s="101" t="str">
        <x:v>Task Name</x:v>
      </x:c>
      <x:c r="D15" s="101" t="str">
        <x:v>Responsible Member</x:v>
      </x:c>
      <x:c r="E15" s="101" t="str">
        <x:v>Actual</x:v>
      </x:c>
      <x:c r="F15" s="102" t="n">
        <x:v>46332</x:v>
      </x:c>
      <x:c r="G15" s="102" t="n">
        <x:v>46333</x:v>
      </x:c>
      <x:c r="H15" s="102" t="n">
        <x:v>46334</x:v>
      </x:c>
      <x:c r="I15" s="102" t="n">
        <x:v>46335</x:v>
      </x:c>
      <x:c r="J15" s="102" t="n">
        <x:v>46336</x:v>
      </x:c>
      <x:c r="K15" s="102" t="n">
        <x:v>46337</x:v>
      </x:c>
      <x:c r="L15" s="102" t="n">
        <x:v>46338</x:v>
      </x:c>
      <x:c r="M15" s="102" t="n">
        <x:v>46339</x:v>
      </x:c>
      <x:c r="N15" s="102" t="n">
        <x:v>46340</x:v>
      </x:c>
      <x:c r="O15" s="102" t="n">
        <x:v>46341</x:v>
      </x:c>
      <x:c r="P15" s="102" t="n">
        <x:v>46342</x:v>
      </x:c>
      <x:c r="Q15" s="102" t="n">
        <x:v>46343</x:v>
      </x:c>
      <x:c r="R15" s="102" t="n">
        <x:v>46344</x:v>
      </x:c>
      <x:c r="S15" s="102" t="n">
        <x:v>46345</x:v>
      </x:c>
      <x:c r="T15" s="102" t="n">
        <x:v>46346</x:v>
      </x:c>
      <x:c r="U15" s="102" t="n">
        <x:v>46347</x:v>
      </x:c>
      <x:c r="V15" s="102" t="n">
        <x:v>46348</x:v>
      </x:c>
      <x:c r="W15" s="102" t="n">
        <x:v>46349</x:v>
      </x:c>
      <x:c r="X15" s="102" t="n">
        <x:v>46350</x:v>
      </x:c>
      <x:c r="Y15" s="102" t="n">
        <x:v>46351</x:v>
      </x:c>
      <x:c r="Z15" s="102" t="n">
        <x:v>46352</x:v>
      </x:c>
      <x:c r="AA15" s="28" t="n">
        <x:v>46353</x:v>
      </x:c>
    </x:row>
    <x:row r="16">
      <x:c r="A16" s="78"/>
      <x:c r="B16" s="103" t="str">
        <x:v>Planning</x:v>
      </x:c>
      <x:c r="C16" s="104"/>
      <x:c r="D16" s="104"/>
      <x:c r="E16" s="104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  <x:c r="V16" s="105"/>
      <x:c r="W16" s="105"/>
      <x:c r="X16" s="105"/>
      <x:c r="Y16" s="105"/>
      <x:c r="Z16" s="105"/>
      <x:c r="AA16"/>
    </x:row>
    <x:row r="17">
      <x:c r="A17" s="78"/>
      <x:c r="B17" s="78" t="str">
        <x:v>Planning</x:v>
      </x:c>
      <x:c r="C17" s="78" t="str">
        <x:v>Sprint Planning Meeting</x:v>
      </x:c>
      <x:c r="D17" s="78" t="str">
        <x:v>Tuan</x:v>
      </x:c>
      <x:c r="E17" s="78"/>
      <x:c r="F17" s="106" t="n">
        <x:v>3</x:v>
      </x:c>
      <x:c r="G17" s="106"/>
      <x:c r="H17" s="106"/>
      <x:c r="I17" s="106"/>
      <x:c r="J17" s="106"/>
      <x:c r="K17" s="106"/>
      <x:c r="L17" s="106"/>
      <x:c r="M17" s="106"/>
      <x:c r="N17" s="106"/>
      <x:c r="O17" s="106"/>
      <x:c r="P17" s="106"/>
      <x:c r="Q17" s="106"/>
      <x:c r="R17" s="106"/>
      <x:c r="S17" s="106"/>
      <x:c r="T17" s="106"/>
      <x:c r="U17" s="106"/>
      <x:c r="V17" s="106"/>
      <x:c r="W17" s="106"/>
      <x:c r="X17" s="106"/>
      <x:c r="Y17" s="106"/>
      <x:c r="Z17" s="106"/>
      <x:c r="AA17"/>
    </x:row>
    <x:row r="18">
      <x:c r="A18" s="78"/>
      <x:c r="B18" s="78" t="str">
        <x:v>Planning</x:v>
      </x:c>
      <x:c r="C18" s="78" t="str">
        <x:v>Create Sprint Backlog &amp; Test Plan</x:v>
      </x:c>
      <x:c r="D18" s="78" t="str">
        <x:v>Tuan</x:v>
      </x:c>
      <x:c r="E18" s="78"/>
      <x:c r="F18" s="106" t="n">
        <x:v>4</x:v>
      </x:c>
      <x:c r="G18" s="106"/>
      <x:c r="H18" s="106"/>
      <x:c r="I18" s="106"/>
      <x:c r="J18" s="106"/>
      <x:c r="K18" s="106"/>
      <x:c r="L18" s="106"/>
      <x:c r="M18" s="106"/>
      <x:c r="N18" s="106"/>
      <x:c r="O18" s="106"/>
      <x:c r="P18" s="106"/>
      <x:c r="Q18" s="106"/>
      <x:c r="R18" s="106"/>
      <x:c r="S18" s="106"/>
      <x:c r="T18" s="106"/>
      <x:c r="U18" s="106"/>
      <x:c r="V18" s="106"/>
      <x:c r="W18" s="106"/>
      <x:c r="X18" s="106"/>
      <x:c r="Y18" s="106"/>
      <x:c r="Z18" s="106"/>
      <x:c r="AA18"/>
    </x:row>
    <x:row r="19">
      <x:c r="A19" s="78"/>
      <x:c r="B19" s="103" t="str">
        <x:v>Design</x:v>
      </x:c>
      <x:c r="C19" s="104"/>
      <x:c r="D19" s="104"/>
      <x:c r="E19" s="104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  <x:c r="V19" s="105"/>
      <x:c r="W19" s="105"/>
      <x:c r="X19" s="105"/>
      <x:c r="Y19" s="105"/>
      <x:c r="Z19" s="105"/>
      <x:c r="AA19"/>
    </x:row>
    <x:row r="20">
      <x:c r="A20" s="78"/>
      <x:c r="B20" s="78" t="str">
        <x:v>Design</x:v>
      </x:c>
      <x:c r="C20" s="78" t="str">
        <x:v>Design Timesheet reconciliation &amp; approval UI</x:v>
      </x:c>
      <x:c r="D20" s="78" t="str">
        <x:v>Hien</x:v>
      </x:c>
      <x:c r="E20" s="78"/>
      <x:c r="F20" s="106" t="n">
        <x:v>5</x:v>
      </x:c>
      <x:c r="G20" s="106"/>
      <x:c r="H20" s="106"/>
      <x:c r="I20" s="106"/>
      <x:c r="J20" s="106"/>
      <x:c r="K20" s="106"/>
      <x:c r="L20" s="106"/>
      <x:c r="M20" s="106"/>
      <x:c r="N20" s="106"/>
      <x:c r="O20" s="106"/>
      <x:c r="P20" s="106"/>
      <x:c r="Q20" s="106"/>
      <x:c r="R20" s="106"/>
      <x:c r="S20" s="106"/>
      <x:c r="T20" s="106"/>
      <x:c r="U20" s="106"/>
      <x:c r="V20" s="106"/>
      <x:c r="W20" s="106"/>
      <x:c r="X20" s="106"/>
      <x:c r="Y20" s="106"/>
      <x:c r="Z20" s="106"/>
      <x:c r="AA20"/>
    </x:row>
    <x:row r="21">
      <x:c r="A21" s="78"/>
      <x:c r="B21" s="78" t="str">
        <x:v>Design</x:v>
      </x:c>
      <x:c r="C21" s="78" t="str">
        <x:v>Design Dashboard &amp; Report UI</x:v>
      </x:c>
      <x:c r="D21" s="78" t="str">
        <x:v>Hien</x:v>
      </x:c>
      <x:c r="E21" s="78"/>
      <x:c r="F21" s="106" t="n">
        <x:v>6</x:v>
      </x:c>
      <x:c r="G21" s="106"/>
      <x:c r="H21" s="106"/>
      <x:c r="I21" s="106"/>
      <x:c r="J21" s="106"/>
      <x:c r="K21" s="106"/>
      <x:c r="L21" s="106"/>
      <x:c r="M21" s="106"/>
      <x:c r="N21" s="106"/>
      <x:c r="O21" s="106"/>
      <x:c r="P21" s="106"/>
      <x:c r="Q21" s="106"/>
      <x:c r="R21" s="106"/>
      <x:c r="S21" s="106"/>
      <x:c r="T21" s="106"/>
      <x:c r="U21" s="106"/>
      <x:c r="V21" s="106"/>
      <x:c r="W21" s="106"/>
      <x:c r="X21" s="106"/>
      <x:c r="Y21" s="106"/>
      <x:c r="Z21" s="106"/>
      <x:c r="AA21"/>
    </x:row>
    <x:row r="22">
      <x:c r="A22" s="78"/>
      <x:c r="B22" s="78" t="str">
        <x:v>Design</x:v>
      </x:c>
      <x:c r="C22" s="78" t="str">
        <x:v>Design AI Assistant UI / service status</x:v>
      </x:c>
      <x:c r="D22" s="78" t="str">
        <x:v>Quan</x:v>
      </x:c>
      <x:c r="E22" s="78"/>
      <x:c r="F22" s="106" t="n">
        <x:v>5</x:v>
      </x:c>
      <x:c r="G22" s="106"/>
      <x:c r="H22" s="106"/>
      <x:c r="I22" s="106"/>
      <x:c r="J22" s="106"/>
      <x:c r="K22" s="106"/>
      <x:c r="L22" s="106"/>
      <x:c r="M22" s="106"/>
      <x:c r="N22" s="106"/>
      <x:c r="O22" s="106"/>
      <x:c r="P22" s="106"/>
      <x:c r="Q22" s="106"/>
      <x:c r="R22" s="106"/>
      <x:c r="S22" s="106"/>
      <x:c r="T22" s="106"/>
      <x:c r="U22" s="106"/>
      <x:c r="V22" s="106"/>
      <x:c r="W22" s="106"/>
      <x:c r="X22" s="106"/>
      <x:c r="Y22" s="106"/>
      <x:c r="Z22" s="106"/>
      <x:c r="AA22"/>
    </x:row>
    <x:row r="23">
      <x:c r="A23" s="78"/>
      <x:c r="B23" s="103" t="str">
        <x:v>Database</x:v>
      </x:c>
      <x:c r="C23" s="104"/>
      <x:c r="D23" s="104"/>
      <x:c r="E23" s="104"/>
      <x:c r="F23" s="105"/>
      <x:c r="G23" s="105"/>
      <x:c r="H23" s="105"/>
      <x:c r="I23" s="105"/>
      <x:c r="J23" s="105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  <x:c r="V23" s="105"/>
      <x:c r="W23" s="105"/>
      <x:c r="X23" s="105"/>
      <x:c r="Y23" s="105"/>
      <x:c r="Z23" s="105"/>
      <x:c r="AA23"/>
    </x:row>
    <x:row r="24">
      <x:c r="A24" s="78"/>
      <x:c r="B24" s="78" t="str">
        <x:v>Database</x:v>
      </x:c>
      <x:c r="C24" s="78" t="str">
        <x:v>Update Timesheet / audit / AI request schema</x:v>
      </x:c>
      <x:c r="D24" s="78" t="str">
        <x:v>Nghia</x:v>
      </x:c>
      <x:c r="E24" s="78"/>
      <x:c r="F24" s="106" t="n">
        <x:v>8</x:v>
      </x:c>
      <x:c r="G24" s="106"/>
      <x:c r="H24" s="106"/>
      <x:c r="I24" s="106"/>
      <x:c r="J24" s="106"/>
      <x:c r="K24" s="106"/>
      <x:c r="L24" s="106"/>
      <x:c r="M24" s="106"/>
      <x:c r="N24" s="106"/>
      <x:c r="O24" s="106"/>
      <x:c r="P24" s="106"/>
      <x:c r="Q24" s="106"/>
      <x:c r="R24" s="106"/>
      <x:c r="S24" s="106"/>
      <x:c r="T24" s="106"/>
      <x:c r="U24" s="106"/>
      <x:c r="V24" s="106"/>
      <x:c r="W24" s="106"/>
      <x:c r="X24" s="106"/>
      <x:c r="Y24" s="106"/>
      <x:c r="Z24" s="106"/>
      <x:c r="AA24"/>
    </x:row>
    <x:row r="25">
      <x:c r="A25" s="78"/>
      <x:c r="B25" s="103" t="str">
        <x:v>Timesheet</x:v>
      </x:c>
      <x:c r="C25" s="104"/>
      <x:c r="D25" s="104"/>
      <x:c r="E25" s="104"/>
      <x:c r="F25" s="105"/>
      <x:c r="G25" s="105"/>
      <x:c r="H25" s="105"/>
      <x:c r="I25" s="105"/>
      <x:c r="J25" s="105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  <x:c r="V25" s="105"/>
      <x:c r="W25" s="105"/>
      <x:c r="X25" s="105"/>
      <x:c r="Y25" s="105"/>
      <x:c r="Z25" s="105"/>
      <x:c r="AA25"/>
    </x:row>
    <x:row r="26">
      <x:c r="A26" s="78"/>
      <x:c r="B26" s="78" t="str">
        <x:v>Timesheet</x:v>
      </x:c>
      <x:c r="C26" s="78" t="str">
        <x:v>Implement attendance-to-timesheet calculation</x:v>
      </x:c>
      <x:c r="D26" s="78" t="str">
        <x:v>Nghia</x:v>
      </x:c>
      <x:c r="E26" s="78"/>
      <x:c r="F26" s="106" t="n">
        <x:v>10</x:v>
      </x:c>
      <x:c r="G26" s="106"/>
      <x:c r="H26" s="106"/>
      <x:c r="I26" s="106"/>
      <x:c r="J26" s="106"/>
      <x:c r="K26" s="106"/>
      <x:c r="L26" s="106"/>
      <x:c r="M26" s="106"/>
      <x:c r="N26" s="106"/>
      <x:c r="O26" s="106"/>
      <x:c r="P26" s="106"/>
      <x:c r="Q26" s="106"/>
      <x:c r="R26" s="106"/>
      <x:c r="S26" s="106"/>
      <x:c r="T26" s="106"/>
      <x:c r="U26" s="106"/>
      <x:c r="V26" s="106"/>
      <x:c r="W26" s="106"/>
      <x:c r="X26" s="106"/>
      <x:c r="Y26" s="106"/>
      <x:c r="Z26" s="106"/>
      <x:c r="AA26"/>
    </x:row>
    <x:row r="27">
      <x:c r="A27" s="78"/>
      <x:c r="B27" s="78" t="str">
        <x:v>Timesheet</x:v>
      </x:c>
      <x:c r="C27" s="78" t="str">
        <x:v>Implement grace / break / rounding / overtime rules</x:v>
      </x:c>
      <x:c r="D27" s="78" t="str">
        <x:v>Tuan</x:v>
      </x:c>
      <x:c r="E27" s="78"/>
      <x:c r="F27" s="106" t="n">
        <x:v>10</x:v>
      </x:c>
      <x:c r="G27" s="106"/>
      <x:c r="H27" s="106"/>
      <x:c r="I27" s="106"/>
      <x:c r="J27" s="106"/>
      <x:c r="K27" s="106"/>
      <x:c r="L27" s="106"/>
      <x:c r="M27" s="106"/>
      <x:c r="N27" s="106"/>
      <x:c r="O27" s="106"/>
      <x:c r="P27" s="106"/>
      <x:c r="Q27" s="106"/>
      <x:c r="R27" s="106"/>
      <x:c r="S27" s="106"/>
      <x:c r="T27" s="106"/>
      <x:c r="U27" s="106"/>
      <x:c r="V27" s="106"/>
      <x:c r="W27" s="106"/>
      <x:c r="X27" s="106"/>
      <x:c r="Y27" s="106"/>
      <x:c r="Z27" s="106"/>
      <x:c r="AA27"/>
    </x:row>
    <x:row r="28">
      <x:c r="A28" s="78"/>
      <x:c r="B28" s="78" t="str">
        <x:v>Timesheet</x:v>
      </x:c>
      <x:c r="C28" s="78" t="str">
        <x:v>Implement Manager correction / approval APIs</x:v>
      </x:c>
      <x:c r="D28" s="78" t="str">
        <x:v>Tuan</x:v>
      </x:c>
      <x:c r="E28" s="78"/>
      <x:c r="F28" s="106" t="n">
        <x:v>8</x:v>
      </x:c>
      <x:c r="G28" s="106"/>
      <x:c r="H28" s="106"/>
      <x:c r="I28" s="106"/>
      <x:c r="J28" s="106"/>
      <x:c r="K28" s="106"/>
      <x:c r="L28" s="106"/>
      <x:c r="M28" s="106"/>
      <x:c r="N28" s="106"/>
      <x:c r="O28" s="106"/>
      <x:c r="P28" s="106"/>
      <x:c r="Q28" s="106"/>
      <x:c r="R28" s="106"/>
      <x:c r="S28" s="106"/>
      <x:c r="T28" s="106"/>
      <x:c r="U28" s="106"/>
      <x:c r="V28" s="106"/>
      <x:c r="W28" s="106"/>
      <x:c r="X28" s="106"/>
      <x:c r="Y28" s="106"/>
      <x:c r="Z28" s="106"/>
      <x:c r="AA28"/>
    </x:row>
    <x:row r="29">
      <x:c r="A29" s="78"/>
      <x:c r="B29" s="103" t="str">
        <x:v>Web</x:v>
      </x:c>
      <x:c r="C29" s="104"/>
      <x:c r="D29" s="104"/>
      <x:c r="E29" s="104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  <x:c r="V29" s="105"/>
      <x:c r="W29" s="105"/>
      <x:c r="X29" s="105"/>
      <x:c r="Y29" s="105"/>
      <x:c r="Z29" s="105"/>
      <x:c r="AA29"/>
    </x:row>
    <x:row r="30">
      <x:c r="A30" s="78"/>
      <x:c r="B30" s="78" t="str">
        <x:v>Web</x:v>
      </x:c>
      <x:c r="C30" s="78" t="str">
        <x:v>Implement Timesheet review / approval screen</x:v>
      </x:c>
      <x:c r="D30" s="78" t="str">
        <x:v>Hien</x:v>
      </x:c>
      <x:c r="E30" s="78"/>
      <x:c r="F30" s="106" t="n">
        <x:v>9</x:v>
      </x:c>
      <x:c r="G30" s="106"/>
      <x:c r="H30" s="106"/>
      <x:c r="I30" s="106"/>
      <x:c r="J30" s="106"/>
      <x:c r="K30" s="106"/>
      <x:c r="L30" s="106"/>
      <x:c r="M30" s="106"/>
      <x:c r="N30" s="106"/>
      <x:c r="O30" s="106"/>
      <x:c r="P30" s="106"/>
      <x:c r="Q30" s="106"/>
      <x:c r="R30" s="106"/>
      <x:c r="S30" s="106"/>
      <x:c r="T30" s="106"/>
      <x:c r="U30" s="106"/>
      <x:c r="V30" s="106"/>
      <x:c r="W30" s="106"/>
      <x:c r="X30" s="106"/>
      <x:c r="Y30" s="106"/>
      <x:c r="Z30" s="106"/>
      <x:c r="AA30"/>
    </x:row>
    <x:row r="31">
      <x:c r="A31" s="78"/>
      <x:c r="B31" s="103" t="str">
        <x:v>Dashboard</x:v>
      </x:c>
      <x:c r="C31" s="104"/>
      <x:c r="D31" s="104"/>
      <x:c r="E31" s="104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  <x:c r="V31" s="105"/>
      <x:c r="W31" s="105"/>
      <x:c r="X31" s="105"/>
      <x:c r="Y31" s="105"/>
      <x:c r="Z31" s="105"/>
      <x:c r="AA31"/>
    </x:row>
    <x:row r="32">
      <x:c r="A32" s="78"/>
      <x:c r="B32" s="78" t="str">
        <x:v>Dashboard</x:v>
      </x:c>
      <x:c r="C32" s="78" t="str">
        <x:v>Implement staffing / attendance dashboard APIs</x:v>
      </x:c>
      <x:c r="D32" s="78" t="str">
        <x:v>Nghia</x:v>
      </x:c>
      <x:c r="E32" s="78"/>
      <x:c r="F32" s="106" t="n">
        <x:v>9</x:v>
      </x:c>
      <x:c r="G32" s="106"/>
      <x:c r="H32" s="106"/>
      <x:c r="I32" s="106"/>
      <x:c r="J32" s="106"/>
      <x:c r="K32" s="106"/>
      <x:c r="L32" s="106"/>
      <x:c r="M32" s="106"/>
      <x:c r="N32" s="106"/>
      <x:c r="O32" s="106"/>
      <x:c r="P32" s="106"/>
      <x:c r="Q32" s="106"/>
      <x:c r="R32" s="106"/>
      <x:c r="S32" s="106"/>
      <x:c r="T32" s="106"/>
      <x:c r="U32" s="106"/>
      <x:c r="V32" s="106"/>
      <x:c r="W32" s="106"/>
      <x:c r="X32" s="106"/>
      <x:c r="Y32" s="106"/>
      <x:c r="Z32" s="106"/>
      <x:c r="AA32"/>
    </x:row>
    <x:row r="33">
      <x:c r="A33" s="78"/>
      <x:c r="B33" s="78" t="str">
        <x:v>Dashboard</x:v>
      </x:c>
      <x:c r="C33" s="78" t="str">
        <x:v>Implement dashboard charts / filters</x:v>
      </x:c>
      <x:c r="D33" s="78" t="str">
        <x:v>Hien</x:v>
      </x:c>
      <x:c r="E33" s="78"/>
      <x:c r="F33" s="106" t="n">
        <x:v>9</x:v>
      </x:c>
      <x:c r="G33" s="106"/>
      <x:c r="H33" s="106"/>
      <x:c r="I33" s="106"/>
      <x:c r="J33" s="106"/>
      <x:c r="K33" s="106"/>
      <x:c r="L33" s="106"/>
      <x:c r="M33" s="106"/>
      <x:c r="N33" s="106"/>
      <x:c r="O33" s="106"/>
      <x:c r="P33" s="106"/>
      <x:c r="Q33" s="106"/>
      <x:c r="R33" s="106"/>
      <x:c r="S33" s="106"/>
      <x:c r="T33" s="106"/>
      <x:c r="U33" s="106"/>
      <x:c r="V33" s="106"/>
      <x:c r="W33" s="106"/>
      <x:c r="X33" s="106"/>
      <x:c r="Y33" s="106"/>
      <x:c r="Z33" s="106"/>
      <x:c r="AA33"/>
    </x:row>
    <x:row r="34">
      <x:c r="A34" s="78"/>
      <x:c r="B34" s="103" t="str">
        <x:v>Reporting</x:v>
      </x:c>
      <x:c r="C34" s="104"/>
      <x:c r="D34" s="104"/>
      <x:c r="E34" s="104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  <x:c r="V34" s="105"/>
      <x:c r="W34" s="105"/>
      <x:c r="X34" s="105"/>
      <x:c r="Y34" s="105"/>
      <x:c r="Z34" s="105"/>
      <x:c r="AA34"/>
    </x:row>
    <x:row r="35">
      <x:c r="A35" s="78"/>
      <x:c r="B35" s="78" t="str">
        <x:v>Reporting</x:v>
      </x:c>
      <x:c r="C35" s="78" t="str">
        <x:v>Implement PDF / Excel export</x:v>
      </x:c>
      <x:c r="D35" s="78" t="str">
        <x:v>Tuan</x:v>
      </x:c>
      <x:c r="E35" s="78"/>
      <x:c r="F35" s="106" t="n">
        <x:v>8</x:v>
      </x:c>
      <x:c r="G35" s="106"/>
      <x:c r="H35" s="106"/>
      <x:c r="I35" s="106"/>
      <x:c r="J35" s="106"/>
      <x:c r="K35" s="106"/>
      <x:c r="L35" s="106"/>
      <x:c r="M35" s="106"/>
      <x:c r="N35" s="106"/>
      <x:c r="O35" s="106"/>
      <x:c r="P35" s="106"/>
      <x:c r="Q35" s="106"/>
      <x:c r="R35" s="106"/>
      <x:c r="S35" s="106"/>
      <x:c r="T35" s="106"/>
      <x:c r="U35" s="106"/>
      <x:c r="V35" s="106"/>
      <x:c r="W35" s="106"/>
      <x:c r="X35" s="106"/>
      <x:c r="Y35" s="106"/>
      <x:c r="Z35" s="106"/>
      <x:c r="AA35"/>
    </x:row>
    <x:row r="36">
      <x:c r="A36" s="78"/>
      <x:c r="B36" s="78" t="str">
        <x:v>Reporting</x:v>
      </x:c>
      <x:c r="C36" s="78" t="str">
        <x:v>Implement estimated labor-cost summary</x:v>
      </x:c>
      <x:c r="D36" s="78" t="str">
        <x:v>Nghia</x:v>
      </x:c>
      <x:c r="E36" s="78"/>
      <x:c r="F36" s="106" t="n">
        <x:v>7</x:v>
      </x:c>
      <x:c r="G36" s="106"/>
      <x:c r="H36" s="106"/>
      <x:c r="I36" s="106"/>
      <x:c r="J36" s="106"/>
      <x:c r="K36" s="106"/>
      <x:c r="L36" s="106"/>
      <x:c r="M36" s="106"/>
      <x:c r="N36" s="106"/>
      <x:c r="O36" s="106"/>
      <x:c r="P36" s="106"/>
      <x:c r="Q36" s="106"/>
      <x:c r="R36" s="106"/>
      <x:c r="S36" s="106"/>
      <x:c r="T36" s="106"/>
      <x:c r="U36" s="106"/>
      <x:c r="V36" s="106"/>
      <x:c r="W36" s="106"/>
      <x:c r="X36" s="106"/>
      <x:c r="Y36" s="106"/>
      <x:c r="Z36" s="106"/>
      <x:c r="AA36"/>
    </x:row>
    <x:row r="37">
      <x:c r="A37" s="78"/>
      <x:c r="B37" s="103" t="str">
        <x:v>AI</x:v>
      </x:c>
      <x:c r="C37" s="104"/>
      <x:c r="D37" s="104"/>
      <x:c r="E37" s="104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  <x:c r="V37" s="105"/>
      <x:c r="W37" s="105"/>
      <x:c r="X37" s="105"/>
      <x:c r="Y37" s="105"/>
      <x:c r="Z37" s="105"/>
      <x:c r="AA37"/>
    </x:row>
    <x:row r="38">
      <x:c r="A38" s="78"/>
      <x:c r="B38" s="78" t="str">
        <x:v>AI</x:v>
      </x:c>
      <x:c r="C38" s="78" t="str">
        <x:v>Build optional AI Service (FastAPI / LLM API)</x:v>
      </x:c>
      <x:c r="D38" s="78" t="str">
        <x:v>Luc</x:v>
      </x:c>
      <x:c r="E38" s="78"/>
      <x:c r="F38" s="106" t="n">
        <x:v>10</x:v>
      </x:c>
      <x:c r="G38" s="106"/>
      <x:c r="H38" s="106"/>
      <x:c r="I38" s="106"/>
      <x:c r="J38" s="106"/>
      <x:c r="K38" s="106"/>
      <x:c r="L38" s="106"/>
      <x:c r="M38" s="106"/>
      <x:c r="N38" s="106"/>
      <x:c r="O38" s="106"/>
      <x:c r="P38" s="106"/>
      <x:c r="Q38" s="106"/>
      <x:c r="R38" s="106"/>
      <x:c r="S38" s="106"/>
      <x:c r="T38" s="106"/>
      <x:c r="U38" s="106"/>
      <x:c r="V38" s="106"/>
      <x:c r="W38" s="106"/>
      <x:c r="X38" s="106"/>
      <x:c r="Y38" s="106"/>
      <x:c r="Z38" s="106"/>
      <x:c r="AA38"/>
    </x:row>
    <x:row r="39">
      <x:c r="A39" s="78"/>
      <x:c r="B39" s="78" t="str">
        <x:v>AI</x:v>
      </x:c>
      <x:c r="C39" s="78" t="str">
        <x:v>Implement verified-data explanation endpoints</x:v>
      </x:c>
      <x:c r="D39" s="78" t="str">
        <x:v>Luc</x:v>
      </x:c>
      <x:c r="E39" s="78"/>
      <x:c r="F39" s="106" t="n">
        <x:v>8</x:v>
      </x:c>
      <x:c r="G39" s="106"/>
      <x:c r="H39" s="106"/>
      <x:c r="I39" s="106"/>
      <x:c r="J39" s="106"/>
      <x:c r="K39" s="106"/>
      <x:c r="L39" s="106"/>
      <x:c r="M39" s="106"/>
      <x:c r="N39" s="106"/>
      <x:c r="O39" s="106"/>
      <x:c r="P39" s="106"/>
      <x:c r="Q39" s="106"/>
      <x:c r="R39" s="106"/>
      <x:c r="S39" s="106"/>
      <x:c r="T39" s="106"/>
      <x:c r="U39" s="106"/>
      <x:c r="V39" s="106"/>
      <x:c r="W39" s="106"/>
      <x:c r="X39" s="106"/>
      <x:c r="Y39" s="106"/>
      <x:c r="Z39" s="106"/>
      <x:c r="AA39"/>
    </x:row>
    <x:row r="40">
      <x:c r="A40" s="78"/>
      <x:c r="B40" s="78" t="str">
        <x:v>AI</x:v>
      </x:c>
      <x:c r="C40" s="78" t="str">
        <x:v>Implement AI graceful degradation / timeout</x:v>
      </x:c>
      <x:c r="D40" s="78" t="str">
        <x:v>Luc</x:v>
      </x:c>
      <x:c r="E40" s="78"/>
      <x:c r="F40" s="106" t="n">
        <x:v>6</x:v>
      </x:c>
      <x:c r="G40" s="106"/>
      <x:c r="H40" s="106"/>
      <x:c r="I40" s="106"/>
      <x:c r="J40" s="106"/>
      <x:c r="K40" s="106"/>
      <x:c r="L40" s="106"/>
      <x:c r="M40" s="106"/>
      <x:c r="N40" s="106"/>
      <x:c r="O40" s="106"/>
      <x:c r="P40" s="106"/>
      <x:c r="Q40" s="106"/>
      <x:c r="R40" s="106"/>
      <x:c r="S40" s="106"/>
      <x:c r="T40" s="106"/>
      <x:c r="U40" s="106"/>
      <x:c r="V40" s="106"/>
      <x:c r="W40" s="106"/>
      <x:c r="X40" s="106"/>
      <x:c r="Y40" s="106"/>
      <x:c r="Z40" s="106"/>
      <x:c r="AA40"/>
    </x:row>
    <x:row r="41">
      <x:c r="A41" s="78"/>
      <x:c r="B41" s="103" t="str">
        <x:v>Monitoring</x:v>
      </x:c>
      <x:c r="C41" s="104"/>
      <x:c r="D41" s="104"/>
      <x:c r="E41" s="104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  <x:c r="V41" s="105"/>
      <x:c r="W41" s="105"/>
      <x:c r="X41" s="105"/>
      <x:c r="Y41" s="105"/>
      <x:c r="Z41" s="105"/>
      <x:c r="AA41"/>
    </x:row>
    <x:row r="42">
      <x:c r="A42" s="78"/>
      <x:c r="B42" s="78" t="str">
        <x:v>Monitoring</x:v>
      </x:c>
      <x:c r="C42" s="78" t="str">
        <x:v>Implement service health / job-status page</x:v>
      </x:c>
      <x:c r="D42" s="78" t="str">
        <x:v>Quan</x:v>
      </x:c>
      <x:c r="E42" s="78"/>
      <x:c r="F42" s="106" t="n">
        <x:v>7</x:v>
      </x:c>
      <x:c r="G42" s="106"/>
      <x:c r="H42" s="106"/>
      <x:c r="I42" s="106"/>
      <x:c r="J42" s="106"/>
      <x:c r="K42" s="106"/>
      <x:c r="L42" s="106"/>
      <x:c r="M42" s="106"/>
      <x:c r="N42" s="106"/>
      <x:c r="O42" s="106"/>
      <x:c r="P42" s="106"/>
      <x:c r="Q42" s="106"/>
      <x:c r="R42" s="106"/>
      <x:c r="S42" s="106"/>
      <x:c r="T42" s="106"/>
      <x:c r="U42" s="106"/>
      <x:c r="V42" s="106"/>
      <x:c r="W42" s="106"/>
      <x:c r="X42" s="106"/>
      <x:c r="Y42" s="106"/>
      <x:c r="Z42" s="106"/>
      <x:c r="AA42"/>
    </x:row>
    <x:row r="43">
      <x:c r="A43" s="78"/>
      <x:c r="B43" s="103" t="str">
        <x:v>React Native</x:v>
      </x:c>
      <x:c r="C43" s="104"/>
      <x:c r="D43" s="104"/>
      <x:c r="E43" s="104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  <x:c r="V43" s="105"/>
      <x:c r="W43" s="105"/>
      <x:c r="X43" s="105"/>
      <x:c r="Y43" s="105"/>
      <x:c r="Z43" s="105"/>
      <x:c r="AA43"/>
    </x:row>
    <x:row r="44">
      <x:c r="A44" s="78"/>
      <x:c r="B44" s="78" t="str">
        <x:v>React Native</x:v>
      </x:c>
      <x:c r="C44" s="78" t="str">
        <x:v>Implement Timesheet &amp; notification views (React Native)</x:v>
      </x:c>
      <x:c r="D44" s="78" t="str">
        <x:v>Quan</x:v>
      </x:c>
      <x:c r="E44" s="78"/>
      <x:c r="F44" s="106" t="n">
        <x:v>8</x:v>
      </x:c>
      <x:c r="G44" s="106"/>
      <x:c r="H44" s="106"/>
      <x:c r="I44" s="106"/>
      <x:c r="J44" s="106"/>
      <x:c r="K44" s="106"/>
      <x:c r="L44" s="106"/>
      <x:c r="M44" s="106"/>
      <x:c r="N44" s="106"/>
      <x:c r="O44" s="106"/>
      <x:c r="P44" s="106"/>
      <x:c r="Q44" s="106"/>
      <x:c r="R44" s="106"/>
      <x:c r="S44" s="106"/>
      <x:c r="T44" s="106"/>
      <x:c r="U44" s="106"/>
      <x:c r="V44" s="106"/>
      <x:c r="W44" s="106"/>
      <x:c r="X44" s="106"/>
      <x:c r="Y44" s="106"/>
      <x:c r="Z44" s="106"/>
      <x:c r="AA44"/>
    </x:row>
    <x:row r="45">
      <x:c r="A45" s="78"/>
      <x:c r="B45" s="103" t="str">
        <x:v>Quality</x:v>
      </x:c>
      <x:c r="C45" s="104"/>
      <x:c r="D45" s="104"/>
      <x:c r="E45" s="104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  <x:c r="V45" s="105"/>
      <x:c r="W45" s="105"/>
      <x:c r="X45" s="105"/>
      <x:c r="Y45" s="105"/>
      <x:c r="Z45" s="105"/>
      <x:c r="AA45"/>
    </x:row>
    <x:row r="46">
      <x:c r="A46" s="78"/>
      <x:c r="B46" s="78" t="str">
        <x:v>Quality</x:v>
      </x:c>
      <x:c r="C46" s="78" t="str">
        <x:v>Responsive React Web / React Native UI refinement</x:v>
      </x:c>
      <x:c r="D46" s="78" t="str">
        <x:v>Quan</x:v>
      </x:c>
      <x:c r="E46" s="78"/>
      <x:c r="F46" s="106" t="n">
        <x:v>7</x:v>
      </x:c>
      <x:c r="G46" s="106"/>
      <x:c r="H46" s="106"/>
      <x:c r="I46" s="106"/>
      <x:c r="J46" s="106"/>
      <x:c r="K46" s="106"/>
      <x:c r="L46" s="106"/>
      <x:c r="M46" s="106"/>
      <x:c r="N46" s="106"/>
      <x:c r="O46" s="106"/>
      <x:c r="P46" s="106"/>
      <x:c r="Q46" s="106"/>
      <x:c r="R46" s="106"/>
      <x:c r="S46" s="106"/>
      <x:c r="T46" s="106"/>
      <x:c r="U46" s="106"/>
      <x:c r="V46" s="106"/>
      <x:c r="W46" s="106"/>
      <x:c r="X46" s="106"/>
      <x:c r="Y46" s="106"/>
      <x:c r="Z46" s="106"/>
      <x:c r="AA46"/>
    </x:row>
    <x:row r="47">
      <x:c r="A47" s="78"/>
      <x:c r="B47" s="103" t="str">
        <x:v>Testing</x:v>
      </x:c>
      <x:c r="C47" s="104"/>
      <x:c r="D47" s="104"/>
      <x:c r="E47" s="104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  <x:c r="V47" s="105"/>
      <x:c r="W47" s="105"/>
      <x:c r="X47" s="105"/>
      <x:c r="Y47" s="105"/>
      <x:c r="Z47" s="105"/>
      <x:c r="AA47"/>
    </x:row>
    <x:row r="48">
      <x:c r="A48" s="78"/>
      <x:c r="B48" s="78" t="str">
        <x:v>Testing</x:v>
      </x:c>
      <x:c r="C48" s="78" t="str">
        <x:v>End-to-End workflow test</x:v>
      </x:c>
      <x:c r="D48" s="78" t="str">
        <x:v>Hien</x:v>
      </x:c>
      <x:c r="E48" s="78"/>
      <x:c r="F48" s="106" t="n">
        <x:v>8</x:v>
      </x:c>
      <x:c r="G48" s="106"/>
      <x:c r="H48" s="106"/>
      <x:c r="I48" s="106"/>
      <x:c r="J48" s="106"/>
      <x:c r="K48" s="106"/>
      <x:c r="L48" s="106"/>
      <x:c r="M48" s="106"/>
      <x:c r="N48" s="106"/>
      <x:c r="O48" s="106"/>
      <x:c r="P48" s="106"/>
      <x:c r="Q48" s="106"/>
      <x:c r="R48" s="106"/>
      <x:c r="S48" s="106"/>
      <x:c r="T48" s="106"/>
      <x:c r="U48" s="106"/>
      <x:c r="V48" s="106"/>
      <x:c r="W48" s="106"/>
      <x:c r="X48" s="106"/>
      <x:c r="Y48" s="106"/>
      <x:c r="Z48" s="106"/>
      <x:c r="AA48"/>
    </x:row>
    <x:row r="49">
      <x:c r="A49" s="78"/>
      <x:c r="B49" s="78" t="str">
        <x:v>Testing</x:v>
      </x:c>
      <x:c r="C49" s="78" t="str">
        <x:v>Security / RBAC regression tests</x:v>
      </x:c>
      <x:c r="D49" s="78" t="str">
        <x:v>Tuan</x:v>
      </x:c>
      <x:c r="E49" s="78"/>
      <x:c r="F49" s="106" t="n">
        <x:v>7</x:v>
      </x:c>
      <x:c r="G49" s="106"/>
      <x:c r="H49" s="106"/>
      <x:c r="I49" s="106"/>
      <x:c r="J49" s="106"/>
      <x:c r="K49" s="106"/>
      <x:c r="L49" s="106"/>
      <x:c r="M49" s="106"/>
      <x:c r="N49" s="106"/>
      <x:c r="O49" s="106"/>
      <x:c r="P49" s="106"/>
      <x:c r="Q49" s="106"/>
      <x:c r="R49" s="106"/>
      <x:c r="S49" s="106"/>
      <x:c r="T49" s="106"/>
      <x:c r="U49" s="106"/>
      <x:c r="V49" s="106"/>
      <x:c r="W49" s="106"/>
      <x:c r="X49" s="106"/>
      <x:c r="Y49" s="106"/>
      <x:c r="Z49" s="106"/>
      <x:c r="AA49"/>
    </x:row>
    <x:row r="50">
      <x:c r="A50" s="78"/>
      <x:c r="B50" s="78" t="str">
        <x:v>Testing</x:v>
      </x:c>
      <x:c r="C50" s="78" t="str">
        <x:v>Graceful degradation tests for AI/Scheduling</x:v>
      </x:c>
      <x:c r="D50" s="78" t="str">
        <x:v>Luc</x:v>
      </x:c>
      <x:c r="E50" s="78"/>
      <x:c r="F50" s="106" t="n">
        <x:v>7</x:v>
      </x:c>
      <x:c r="G50" s="106"/>
      <x:c r="H50" s="106"/>
      <x:c r="I50" s="106"/>
      <x:c r="J50" s="106"/>
      <x:c r="K50" s="106"/>
      <x:c r="L50" s="106"/>
      <x:c r="M50" s="106"/>
      <x:c r="N50" s="106"/>
      <x:c r="O50" s="106"/>
      <x:c r="P50" s="106"/>
      <x:c r="Q50" s="106"/>
      <x:c r="R50" s="106"/>
      <x:c r="S50" s="106"/>
      <x:c r="T50" s="106"/>
      <x:c r="U50" s="106"/>
      <x:c r="V50" s="106"/>
      <x:c r="W50" s="106"/>
      <x:c r="X50" s="106"/>
      <x:c r="Y50" s="106"/>
      <x:c r="Z50" s="106"/>
      <x:c r="AA50"/>
    </x:row>
    <x:row r="51">
      <x:c r="A51" s="78"/>
      <x:c r="B51" s="78" t="str">
        <x:v>Testing</x:v>
      </x:c>
      <x:c r="C51" s="78" t="str">
        <x:v>Performance &amp; data integrity tests</x:v>
      </x:c>
      <x:c r="D51" s="78" t="str">
        <x:v>Nghia</x:v>
      </x:c>
      <x:c r="E51" s="78"/>
      <x:c r="F51" s="106" t="n">
        <x:v>7</x:v>
      </x:c>
      <x:c r="G51" s="106"/>
      <x:c r="H51" s="106"/>
      <x:c r="I51" s="106"/>
      <x:c r="J51" s="106"/>
      <x:c r="K51" s="106"/>
      <x:c r="L51" s="106"/>
      <x:c r="M51" s="106"/>
      <x:c r="N51" s="106"/>
      <x:c r="O51" s="106"/>
      <x:c r="P51" s="106"/>
      <x:c r="Q51" s="106"/>
      <x:c r="R51" s="106"/>
      <x:c r="S51" s="106"/>
      <x:c r="T51" s="106"/>
      <x:c r="U51" s="106"/>
      <x:c r="V51" s="106"/>
      <x:c r="W51" s="106"/>
      <x:c r="X51" s="106"/>
      <x:c r="Y51" s="106"/>
      <x:c r="Z51" s="106"/>
      <x:c r="AA51"/>
    </x:row>
    <x:row r="52">
      <x:c r="A52" s="78"/>
      <x:c r="B52" s="103" t="str">
        <x:v>Release</x:v>
      </x:c>
      <x:c r="C52" s="104"/>
      <x:c r="D52" s="104"/>
      <x:c r="E52" s="104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  <x:c r="V52" s="105"/>
      <x:c r="W52" s="105"/>
      <x:c r="X52" s="105"/>
      <x:c r="Y52" s="105"/>
      <x:c r="Z52" s="105"/>
      <x:c r="AA52"/>
    </x:row>
    <x:row r="53">
      <x:c r="A53" s="78"/>
      <x:c r="B53" s="78" t="str">
        <x:v>Release</x:v>
      </x:c>
      <x:c r="C53" s="78" t="str">
        <x:v>System integration, bug fixing &amp; Sprint 4 release</x:v>
      </x:c>
      <x:c r="D53" s="78" t="str">
        <x:v>Quan</x:v>
      </x:c>
      <x:c r="E53" s="78"/>
      <x:c r="F53" s="106" t="n">
        <x:v>10</x:v>
      </x:c>
      <x:c r="G53" s="106"/>
      <x:c r="H53" s="106"/>
      <x:c r="I53" s="106"/>
      <x:c r="J53" s="106"/>
      <x:c r="K53" s="106"/>
      <x:c r="L53" s="106"/>
      <x:c r="M53" s="106"/>
      <x:c r="N53" s="106"/>
      <x:c r="O53" s="106"/>
      <x:c r="P53" s="106"/>
      <x:c r="Q53" s="106"/>
      <x:c r="R53" s="106"/>
      <x:c r="S53" s="106"/>
      <x:c r="T53" s="106"/>
      <x:c r="U53" s="106"/>
      <x:c r="V53" s="106"/>
      <x:c r="W53" s="106"/>
      <x:c r="X53" s="106"/>
      <x:c r="Y53" s="106"/>
      <x:c r="Z53" s="106"/>
      <x:c r="AA53"/>
    </x:row>
    <x:row r="54">
      <x:c r="A54" s="78"/>
      <x:c r="B54" s="78"/>
      <x:c r="C54" s="78"/>
      <x:c r="D54" s="107" t="str">
        <x:v>TOTAL</x:v>
      </x:c>
      <x:c r="E54" s="107" t="n">
        <x:f>SUM(E16:E53)</x:f>
        <x:v>0</x:v>
      </x:c>
      <x:c r="F54" s="108" t="n">
        <x:f>IF(COUNT(F16:F53)=0,"",SUM(F16:F53))</x:f>
        <x:v>186</x:v>
      </x:c>
      <x:c r="G54" s="108" t="str">
        <x:f>IF(COUNT(G16:G53)=0,"",SUM(G16:G53))</x:f>
      </x:c>
      <x:c r="H54" s="108" t="str">
        <x:f>IF(COUNT(H16:H53)=0,"",SUM(H16:H53))</x:f>
      </x:c>
      <x:c r="I54" s="108" t="str">
        <x:f>IF(COUNT(I16:I53)=0,"",SUM(I16:I53))</x:f>
      </x:c>
      <x:c r="J54" s="108" t="str">
        <x:f>IF(COUNT(J16:J53)=0,"",SUM(J16:J53))</x:f>
      </x:c>
      <x:c r="K54" s="108" t="str">
        <x:f>IF(COUNT(K16:K53)=0,"",SUM(K16:K53))</x:f>
      </x:c>
      <x:c r="L54" s="108" t="str">
        <x:f>IF(COUNT(L16:L53)=0,"",SUM(L16:L53))</x:f>
      </x:c>
      <x:c r="M54" s="108" t="str">
        <x:f>IF(COUNT(M16:M53)=0,"",SUM(M16:M53))</x:f>
      </x:c>
      <x:c r="N54" s="108" t="str">
        <x:f>IF(COUNT(N16:N53)=0,"",SUM(N16:N53))</x:f>
      </x:c>
      <x:c r="O54" s="108" t="str">
        <x:f>IF(COUNT(O16:O53)=0,"",SUM(O16:O53))</x:f>
      </x:c>
      <x:c r="P54" s="108" t="str">
        <x:f>IF(COUNT(P16:P53)=0,"",SUM(P16:P53))</x:f>
      </x:c>
      <x:c r="Q54" s="108" t="str">
        <x:f>IF(COUNT(Q16:Q53)=0,"",SUM(Q16:Q53))</x:f>
      </x:c>
      <x:c r="R54" s="108" t="str">
        <x:f>IF(COUNT(R16:R53)=0,"",SUM(R16:R53))</x:f>
      </x:c>
      <x:c r="S54" s="108" t="str">
        <x:f>IF(COUNT(S16:S53)=0,"",SUM(S16:S53))</x:f>
      </x:c>
      <x:c r="T54" s="108" t="str">
        <x:f>IF(COUNT(T16:T53)=0,"",SUM(T16:T53))</x:f>
      </x:c>
      <x:c r="U54" s="108" t="str">
        <x:f>IF(COUNT(U16:U53)=0,"",SUM(U16:U53))</x:f>
      </x:c>
      <x:c r="V54" s="108" t="str">
        <x:f>IF(COUNT(V16:V53)=0,"",SUM(V16:V53))</x:f>
      </x:c>
      <x:c r="W54" s="108" t="str">
        <x:f>IF(COUNT(W16:W53)=0,"",SUM(W16:W53))</x:f>
      </x:c>
      <x:c r="X54" s="108" t="str">
        <x:f>IF(COUNT(X16:X53)=0,"",SUM(X16:X53))</x:f>
      </x:c>
      <x:c r="Y54" s="108" t="str">
        <x:f>IF(COUNT(Y16:Y53)=0,"",SUM(Y16:Y53))</x:f>
      </x:c>
      <x:c r="Z54" s="108" t="str">
        <x:f>IF(COUNT(Z16:Z53)=0,"",SUM(Z16:Z53))</x:f>
      </x:c>
      <x:c r="AA54" t="str">
        <x:f>IF(COUNT(AA16:AA53)=0,"",SUM(AA16:AA53))</x:f>
      </x:c>
    </x:row>
  </x:sheetData>
  <x:mergeCells>
    <x:mergeCell ref="B16:C16"/>
    <x:mergeCell ref="B19:C19"/>
    <x:mergeCell ref="B23:C23"/>
    <x:mergeCell ref="B25:C25"/>
    <x:mergeCell ref="B29:C29"/>
    <x:mergeCell ref="B31:C31"/>
    <x:mergeCell ref="B34:C34"/>
    <x:mergeCell ref="B37:C37"/>
    <x:mergeCell ref="B41:C41"/>
    <x:mergeCell ref="B43:C43"/>
    <x:mergeCell ref="B45:C45"/>
    <x:mergeCell ref="B47:C47"/>
    <x:mergeCell ref="B52:C5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126" t="str">
        <x:v>Burn down chart Sprint 4</x:v>
      </x:c>
    </x:row>
    <x:row r="3">
      <x:c r="A3" s="128" t="str">
        <x:v>Estimate</x:v>
      </x:c>
      <x:c r="B3" s="128" t="str">
        <x:v>Actual</x:v>
      </x:c>
      <x:c r="C3" s="128" t="str">
        <x:v>Date</x:v>
      </x:c>
    </x:row>
    <x:row r="4">
      <x:c r="A4" s="129" t="n">
        <x:f>Estimate!F54</x:f>
        <x:v>181</x:v>
      </x:c>
      <x:c r="B4" s="129"/>
      <x:c r="C4" s="130" t="n">
        <x:v>46332</x:v>
      </x:c>
    </x:row>
    <x:row r="5">
      <x:c r="A5" s="129" t="n">
        <x:f>Estimate!G54</x:f>
        <x:v>177.5</x:v>
      </x:c>
      <x:c r="B5" s="129"/>
      <x:c r="C5" s="130" t="n">
        <x:v>46333</x:v>
      </x:c>
    </x:row>
    <x:row r="6">
      <x:c r="A6" s="129" t="n">
        <x:f>Estimate!H54</x:f>
        <x:v>172</x:v>
      </x:c>
      <x:c r="B6" s="129"/>
      <x:c r="C6" s="130" t="n">
        <x:v>46334</x:v>
      </x:c>
    </x:row>
    <x:row r="7">
      <x:c r="A7" s="129" t="n">
        <x:f>Estimate!I54</x:f>
        <x:v>164.5</x:v>
      </x:c>
      <x:c r="B7" s="129"/>
      <x:c r="C7" s="130" t="n">
        <x:v>46335</x:v>
      </x:c>
    </x:row>
    <x:row r="8">
      <x:c r="A8" s="129" t="n">
        <x:f>Estimate!J54</x:f>
        <x:v>157</x:v>
      </x:c>
      <x:c r="B8" s="129"/>
      <x:c r="C8" s="130" t="n">
        <x:v>46336</x:v>
      </x:c>
    </x:row>
    <x:row r="9">
      <x:c r="A9" s="129" t="n">
        <x:f>Estimate!K54</x:f>
        <x:v>149</x:v>
      </x:c>
      <x:c r="B9" s="129"/>
      <x:c r="C9" s="130" t="n">
        <x:v>46337</x:v>
      </x:c>
    </x:row>
    <x:row r="10">
      <x:c r="A10" s="129" t="n">
        <x:f>Estimate!L54</x:f>
        <x:v>139</x:v>
      </x:c>
      <x:c r="B10" s="129"/>
      <x:c r="C10" s="130" t="n">
        <x:v>46338</x:v>
      </x:c>
    </x:row>
    <x:row r="11">
      <x:c r="A11" s="129" t="n">
        <x:f>Estimate!M54</x:f>
        <x:v>129.5</x:v>
      </x:c>
      <x:c r="B11" s="129"/>
      <x:c r="C11" s="130" t="n">
        <x:v>46339</x:v>
      </x:c>
    </x:row>
    <x:row r="12">
      <x:c r="A12" s="129" t="n">
        <x:f>Estimate!N54</x:f>
        <x:v>113.5</x:v>
      </x:c>
      <x:c r="B12" s="129"/>
      <x:c r="C12" s="130" t="n">
        <x:v>46340</x:v>
      </x:c>
    </x:row>
    <x:row r="13">
      <x:c r="A13" s="129" t="n">
        <x:f>Estimate!O54</x:f>
        <x:v>97.5</x:v>
      </x:c>
      <x:c r="B13" s="129"/>
      <x:c r="C13" s="130" t="n">
        <x:v>46341</x:v>
      </x:c>
    </x:row>
    <x:row r="14">
      <x:c r="A14" s="129" t="n">
        <x:f>Estimate!P54</x:f>
        <x:v>79.5</x:v>
      </x:c>
      <x:c r="B14" s="129"/>
      <x:c r="C14" s="130" t="n">
        <x:v>46342</x:v>
      </x:c>
    </x:row>
    <x:row r="15">
      <x:c r="A15" s="129" t="n">
        <x:f>Estimate!Q54</x:f>
        <x:v>64</x:v>
      </x:c>
      <x:c r="B15" s="129"/>
      <x:c r="C15" s="130" t="n">
        <x:v>46343</x:v>
      </x:c>
    </x:row>
    <x:row r="16">
      <x:c r="A16" s="129" t="n">
        <x:f>Estimate!R54</x:f>
        <x:v>53.5</x:v>
      </x:c>
      <x:c r="B16" s="129"/>
      <x:c r="C16" s="130" t="n">
        <x:v>46344</x:v>
      </x:c>
    </x:row>
    <x:row r="17">
      <x:c r="A17" s="129" t="n">
        <x:f>Estimate!S54</x:f>
        <x:v>42.5</x:v>
      </x:c>
      <x:c r="B17" s="129"/>
      <x:c r="C17" s="130" t="n">
        <x:v>46345</x:v>
      </x:c>
    </x:row>
    <x:row r="18">
      <x:c r="A18" s="129" t="n">
        <x:f>Estimate!T54</x:f>
        <x:v>32</x:v>
      </x:c>
      <x:c r="B18" s="129"/>
      <x:c r="C18" s="130" t="n">
        <x:v>46346</x:v>
      </x:c>
    </x:row>
    <x:row r="19">
      <x:c r="A19" s="129" t="n">
        <x:f>Estimate!U54</x:f>
        <x:v>21.5</x:v>
      </x:c>
      <x:c r="B19" s="129"/>
      <x:c r="C19" s="130" t="n">
        <x:v>46347</x:v>
      </x:c>
    </x:row>
    <x:row r="20">
      <x:c r="A20" s="129" t="n">
        <x:f>Estimate!V54</x:f>
        <x:v>12.5</x:v>
      </x:c>
      <x:c r="B20" s="129"/>
      <x:c r="C20" s="130" t="n">
        <x:v>46348</x:v>
      </x:c>
    </x:row>
    <x:row r="21">
      <x:c r="A21" s="129" t="n">
        <x:f>Estimate!W54</x:f>
        <x:v>7.5</x:v>
      </x:c>
      <x:c r="B21" s="129"/>
      <x:c r="C21" s="130" t="n">
        <x:v>46349</x:v>
      </x:c>
    </x:row>
    <x:row r="22">
      <x:c r="A22" s="129" t="n">
        <x:f>Estimate!X54</x:f>
        <x:v>5</x:v>
      </x:c>
      <x:c r="B22" s="129"/>
      <x:c r="C22" s="130" t="n">
        <x:v>46350</x:v>
      </x:c>
    </x:row>
    <x:row r="23">
      <x:c r="A23" s="129" t="n">
        <x:f>Estimate!Y54</x:f>
        <x:v>2.5</x:v>
      </x:c>
      <x:c r="B23" s="129"/>
      <x:c r="C23" s="130" t="n">
        <x:v>46351</x:v>
      </x:c>
    </x:row>
    <x:row r="24">
      <x:c r="A24" s="129" t="n">
        <x:f>Estimate!Z54</x:f>
        <x:v>0</x:v>
      </x:c>
      <x:c r="B24" s="129"/>
      <x:c r="C24" s="130" t="n">
        <x:v>46352</x:v>
      </x:c>
    </x:row>
    <x:row r="25">
      <x:c r="A25" t="n">
        <x:f>Estimate!AA54</x:f>
        <x:v>0</x:v>
      </x:c>
      <x:c r="B25"/>
      <x:c r="C25" s="28" t="n">
        <x:v>46353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ecf4c33590b8412c"/>
</x:worksheet>
</file>