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c4d76a0c5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5762b32301b64822"/>
    <x:sheet xmlns:r="http://schemas.openxmlformats.org/officeDocument/2006/relationships" name="Actual" sheetId="2" r:id="R5c6ddf7bd14340a1"/>
    <x:sheet xmlns:r="http://schemas.openxmlformats.org/officeDocument/2006/relationships" name="Chart" sheetId="3" r:id="Rea970a3404a3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dd/mm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27A2B"/>
      </x:patternFill>
    </x:fill>
    <x:fill>
      <x:patternFill patternType="solid">
        <x:fgColor rgb="FF5B9BD5"/>
      </x:patternFill>
    </x:fill>
    <x:fill>
      <x:patternFill patternType="solid">
        <x:fgColor rgb="FFFF0000"/>
      </x:patternFill>
    </x:fill>
    <x:fill>
      <x:patternFill patternType="solid">
        <x:fgColor rgb="FFD9E1F2"/>
      </x:patternFill>
    </x:fill>
    <x:fill>
      <x:patternFill patternType="solid">
        <x:fgColor rgb="FFD9D9D9"/>
      </x:patternFill>
    </x:fill>
    <x:fill>
      <x:patternFill patternType="solid">
        <x:fgColor rgb="FFFFF200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1" xfId="0" applyNumberFormat="1" applyFont="1" applyFill="1" applyBorder="1"/>
    <x:xf numFmtId="0" fontId="1" fillId="4" borderId="1" xfId="0" applyNumberFormat="1" applyFont="1" applyFill="1" applyBorder="1"/>
    <x:xf numFmtId="0" fontId="1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/>
    <x:xf numFmtId="0" fontId="5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201" fontId="3" fillId="0" borderId="1" xfId="0" applyNumberFormat="1" applyFont="1" applyFill="1" applyBorder="1"/>
    <x:xf numFmtId="0" fontId="5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3" fillId="3" borderId="1" xfId="0" applyNumberFormat="1" applyFont="1" applyFill="1" applyBorder="1"/>
    <x:xf numFmtId="201" fontId="3" fillId="3" borderId="1" xfId="0" applyNumberFormat="1" applyFont="1" applyFill="1" applyBorder="1"/>
    <x:xf numFmtId="0" fontId="4" fillId="3" borderId="0" xfId="0" applyNumberFormat="1" applyFont="1" applyFill="1" applyBorder="1"/>
    <x:xf numFmtId="201" fontId="4" fillId="3" borderId="0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201" fontId="4" fillId="3" borderId="0" xfId="0" applyNumberFormat="1" applyFont="1" applyFill="1" applyBorder="1" applyAlignment="1">
      <x:alignment horizontal="center"/>
    </x:xf>
    <x:xf numFmtId="201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201" fontId="4" fillId="3" borderId="2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/>
    <x:xf numFmtId="0" fontId="3" fillId="6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/>
    </x:xf>
    <x:xf numFmtId="201" fontId="4" fillId="3" borderId="3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/>
    <x:xf numFmtId="0" fontId="3" fillId="6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3" fillId="6" borderId="2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 applyAlignment="1">
      <x:alignment horizontal="center"/>
    </x:xf>
    <x:xf numFmtId="0" fontId="5" fillId="8" borderId="2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 applyAlignment="1">
      <x:alignment horizontal="center"/>
    </x:xf>
    <x:xf numFmtId="0" fontId="5" fillId="8" borderId="3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201" fontId="4" fillId="3" borderId="2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horizontal="center" wrapText="1"/>
    </x:xf>
    <x:xf numFmtId="0" fontId="5" fillId="8" borderId="2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201" fontId="4" fillId="3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0" borderId="3" xfId="0" applyNumberFormat="1" applyFont="1" applyFill="1" applyBorder="1" applyAlignment="1">
      <x:alignment horizontal="center" wrapText="1"/>
    </x:xf>
    <x:xf numFmtId="0" fontId="5" fillId="8" borderId="3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0" xfId="0" applyNumberFormat="1" applyFont="1" applyFill="1" applyBorder="1"/>
    <x:xf numFmtId="0" fontId="3" fillId="7" borderId="0" xfId="0" applyNumberFormat="1" applyFont="1" applyFill="1" applyBorder="1"/>
    <x:xf numFmtId="0" fontId="5" fillId="7" borderId="0" xfId="0" applyNumberFormat="1" applyFont="1" applyFill="1" applyBorder="1"/>
    <x:xf numFmtId="0" fontId="3" fillId="8" borderId="0" xfId="0" applyNumberFormat="1" applyFont="1" applyFill="1" applyBorder="1"/>
    <x:xf numFmtId="0" fontId="5" fillId="8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wrapText="1"/>
    </x:xf>
    <x:xf numFmtId="201" fontId="4" fillId="3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261c404dd4a86" /><Relationship Type="http://schemas.openxmlformats.org/officeDocument/2006/relationships/theme" Target="/xl/theme/theme1.xml" Id="Ra110a833f4904d8a" /><Relationship Type="http://schemas.openxmlformats.org/officeDocument/2006/relationships/sharedStrings" Target="/xl/sharedStrings.xml" Id="Rec058584166e4ffe" /><Relationship Type="http://schemas.openxmlformats.org/officeDocument/2006/relationships/worksheet" Target="/xl/worksheets/sheet1.xml" Id="R5762b32301b64822" /><Relationship Type="http://schemas.openxmlformats.org/officeDocument/2006/relationships/worksheet" Target="/xl/worksheets/sheet2.xml" Id="R5c6ddf7bd14340a1" /><Relationship Type="http://schemas.openxmlformats.org/officeDocument/2006/relationships/worksheet" Target="/xl/worksheets/sheet3.xml" Id="Rea970a3404a347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e024f3b24f448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Estimate</c:v>
          </c:tx>
          <c:marker>
            <c:symbol val="none"/>
          </c:marker>
          <c:cat>
            <c:strRef>
              <c:f>'Chart'!$C$4:$C$25</c:f>
              <c:strCache>
                <c:ptCount val="0"/>
              </c:strCache>
            </c:strRef>
          </c:cat>
          <c:val>
            <c:numRef>
              <c:f>'Chart'!$A$4:$A$25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marker>
            <c:symbol val="none"/>
          </c:marker>
          <c:cat>
            <c:strRef>
              <c:f>'Chart'!$C$4:$C$25</c:f>
              <c:strCache>
                <c:ptCount val="0"/>
              </c:strCache>
            </c:strRef>
          </c:cat>
          <c:val>
            <c:numRef>
              <c:f>'Chart'!$B$4:$B$25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dd/mm" sourceLinked="0"/>
        <c:majorTickMark val="none"/>
        <c:minorTickMark val="none"/>
        <c:tickLblPos val="nextTo"/>
        <c:crossAx val="48672768"/>
        <c:auto val="1"/>
        <c:lblOffset val="100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e024f3b24f448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2b7f0ede4774b6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20" hidden="0" customWidth="1"/>
    <x:col min="5" max="5" width="10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</x:cols>
  <x:sheetData>
    <x:row r="1">
      <x:c r="A1" s="94" t="str">
        <x:v>Project Name:</x:v>
      </x:c>
      <x:c r="B1" s="45"/>
      <x:c r="C1" s="94" t="str">
        <x:v>Smart Scheduling - Website for Automated Staff Scheduling and Shift</x:v>
      </x:c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/>
    </x:row>
    <x:row r="2">
      <x:c r="A2" s="94" t="str">
        <x:v>Module Name:</x:v>
      </x:c>
      <x:c r="B2" s="45"/>
      <x:c r="C2" s="94" t="str">
        <x:v>Sprint 1 - Core Platform Foundation</x:v>
      </x:c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/>
    </x:row>
    <x:row r="3">
      <x:c r="A3" s="94" t="str">
        <x:v>Development Team:</x:v>
      </x:c>
      <x:c r="B3" s="45"/>
      <x:c r="C3" s="94" t="str">
        <x:v>C1SE.57</x:v>
      </x:c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/>
    </x:row>
    <x:row r="4">
      <x:c r="A4" s="94" t="str">
        <x:v>Start Date:</x:v>
      </x:c>
      <x:c r="B4" s="45"/>
      <x:c r="C4" s="95" t="n">
        <x:v>46266</x:v>
      </x:c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/>
    </x:row>
    <x:row r="5">
      <x:c r="A5" s="94" t="str">
        <x:v>End Date:</x:v>
      </x:c>
      <x:c r="B5" s="45"/>
      <x:c r="C5" s="95" t="n">
        <x:v>46287</x:v>
      </x:c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/>
    </x:row>
    <x:row r="7">
      <x:c r="A7" s="45"/>
      <x:c r="B7" s="45"/>
      <x:c r="C7" s="45"/>
      <x:c r="D7" s="45"/>
      <x:c r="E7" s="45"/>
      <x:c r="F7" s="45"/>
      <x:c r="G7" s="45"/>
      <x:c r="H7" s="96" t="str">
        <x:v>On Time</x:v>
      </x:c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/>
    </x:row>
    <x:row r="8">
      <x:c r="A8" s="97" t="str">
        <x:v>No.</x:v>
      </x:c>
      <x:c r="B8" s="97" t="str">
        <x:v>Member Name</x:v>
      </x:c>
      <x:c r="C8" s="97" t="str">
        <x:v>Full Name</x:v>
      </x:c>
      <x:c r="D8" s="97" t="str">
        <x:v>Estimate</x:v>
      </x:c>
      <x:c r="E8" s="45"/>
      <x:c r="F8" s="45"/>
      <x:c r="G8" s="45"/>
      <x:c r="H8" s="98" t="str">
        <x:v>Lately</x:v>
      </x:c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/>
    </x:row>
    <x:row r="9">
      <x:c r="A9" s="78" t="n">
        <x:v>1</x:v>
      </x:c>
      <x:c r="B9" s="78" t="str">
        <x:v>Tuan</x:v>
      </x:c>
      <x:c r="C9" s="78" t="str">
        <x:v>Lê Hà Đức Tuấn</x:v>
      </x:c>
      <x:c r="D9" s="78" t="n">
        <x:f>SUMIF($D$16:$D$50,B9,$E$16:$E$50)</x:f>
        <x:v>35</x:v>
      </x:c>
      <x:c r="E9" s="45"/>
      <x:c r="F9" s="45"/>
      <x:c r="G9" s="45"/>
      <x:c r="H9" s="99" t="str">
        <x:v>Early</x:v>
      </x:c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/>
    </x:row>
    <x:row r="10">
      <x:c r="A10" s="78" t="n">
        <x:v>2</x:v>
      </x:c>
      <x:c r="B10" s="78" t="str">
        <x:v>Hien</x:v>
      </x:c>
      <x:c r="C10" s="78" t="str">
        <x:v>Lê Trần Thanh Hiền</x:v>
      </x:c>
      <x:c r="D10" s="78" t="n">
        <x:f>SUMIF($D$16:$D$50,B10,$E$16:$E$50)</x:f>
        <x:v>34</x:v>
      </x:c>
      <x:c r="E10" s="45"/>
      <x:c r="F10" s="45"/>
      <x:c r="G10" s="45"/>
      <x:c r="H10" s="100" t="str">
        <x:v>Unfinished</x:v>
      </x:c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/>
    </x:row>
    <x:row r="11">
      <x:c r="A11" s="78" t="n">
        <x:v>3</x:v>
      </x:c>
      <x:c r="B11" s="78" t="str">
        <x:v>Nghia</x:v>
      </x:c>
      <x:c r="C11" s="78" t="str">
        <x:v>Lê Đình Nghĩa</x:v>
      </x:c>
      <x:c r="D11" s="78" t="n">
        <x:f>SUMIF($D$16:$D$50,B11,$E$16:$E$50)</x:f>
        <x:v>32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/>
    </x:row>
    <x:row r="12">
      <x:c r="A12" s="78" t="n">
        <x:v>4</x:v>
      </x:c>
      <x:c r="B12" s="78" t="str">
        <x:v>Quan</x:v>
      </x:c>
      <x:c r="C12" s="78" t="str">
        <x:v>Huỳnh Văn Minh Quân</x:v>
      </x:c>
      <x:c r="D12" s="78" t="n">
        <x:f>SUMIF($D$16:$D$50,B12,$E$16:$E$50)</x:f>
        <x:v>33</x:v>
      </x:c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/>
    </x:row>
    <x:row r="13">
      <x:c r="A13" s="78" t="n">
        <x:v>5</x:v>
      </x:c>
      <x:c r="B13" s="78" t="str">
        <x:v>Luc</x:v>
      </x:c>
      <x:c r="C13" s="78" t="str">
        <x:v>Huỳnh Vũ Lực</x:v>
      </x:c>
      <x:c r="D13" s="78" t="n">
        <x:f>SUMIF($D$16:$D$50,B13,$E$16:$E$50)</x:f>
        <x:v>21</x:v>
      </x:c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/>
    </x:row>
    <x:row r="14">
      <x:c r="A14" s="78" t="str">
        <x:v>Total</x:v>
      </x:c>
      <x:c r="B14" s="78"/>
      <x:c r="C14" s="78"/>
      <x:c r="D14" s="78" t="n">
        <x:f>SUM(D9:D13)</x:f>
        <x:v>155</x:v>
      </x:c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/>
    </x:row>
    <x:row r="15">
      <x:c r="A15" s="101" t="str">
        <x:v>SPRINT 1 REPORT</x:v>
      </x:c>
      <x:c r="B15" s="101" t="str">
        <x:v>Component</x:v>
      </x:c>
      <x:c r="C15" s="101" t="str">
        <x:v>Task Name</x:v>
      </x:c>
      <x:c r="D15" s="101" t="str">
        <x:v>Responsible Member</x:v>
      </x:c>
      <x:c r="E15" s="101" t="str">
        <x:v>Estimate</x:v>
      </x:c>
      <x:c r="F15" s="102" t="n">
        <x:v>46266</x:v>
      </x:c>
      <x:c r="G15" s="102" t="n">
        <x:v>46267</x:v>
      </x:c>
      <x:c r="H15" s="102" t="n">
        <x:v>46268</x:v>
      </x:c>
      <x:c r="I15" s="102" t="n">
        <x:v>46269</x:v>
      </x:c>
      <x:c r="J15" s="102" t="n">
        <x:v>46270</x:v>
      </x:c>
      <x:c r="K15" s="102" t="n">
        <x:v>46271</x:v>
      </x:c>
      <x:c r="L15" s="102" t="n">
        <x:v>46272</x:v>
      </x:c>
      <x:c r="M15" s="102" t="n">
        <x:v>46273</x:v>
      </x:c>
      <x:c r="N15" s="102" t="n">
        <x:v>46274</x:v>
      </x:c>
      <x:c r="O15" s="102" t="n">
        <x:v>46275</x:v>
      </x:c>
      <x:c r="P15" s="102" t="n">
        <x:v>46276</x:v>
      </x:c>
      <x:c r="Q15" s="102" t="n">
        <x:v>46277</x:v>
      </x:c>
      <x:c r="R15" s="102" t="n">
        <x:v>46278</x:v>
      </x:c>
      <x:c r="S15" s="102" t="n">
        <x:v>46279</x:v>
      </x:c>
      <x:c r="T15" s="102" t="n">
        <x:v>46280</x:v>
      </x:c>
      <x:c r="U15" s="102" t="n">
        <x:v>46281</x:v>
      </x:c>
      <x:c r="V15" s="102" t="n">
        <x:v>46282</x:v>
      </x:c>
      <x:c r="W15" s="102" t="n">
        <x:v>46283</x:v>
      </x:c>
      <x:c r="X15" s="102" t="n">
        <x:v>46284</x:v>
      </x:c>
      <x:c r="Y15" s="102" t="n">
        <x:v>46285</x:v>
      </x:c>
      <x:c r="Z15" s="102" t="n">
        <x:v>46286</x:v>
      </x:c>
      <x:c r="AA15" s="28" t="n">
        <x:v>46287</x:v>
      </x:c>
    </x:row>
    <x:row r="16">
      <x:c r="A16" s="78"/>
      <x:c r="B16" s="103" t="str">
        <x:v>Planning</x:v>
      </x:c>
      <x:c r="C16" s="104"/>
      <x:c r="D16" s="104"/>
      <x:c r="E16" s="104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  <x:c r="V16" s="105"/>
      <x:c r="W16" s="105"/>
      <x:c r="X16" s="105"/>
      <x:c r="Y16" s="105"/>
      <x:c r="Z16" s="105"/>
      <x:c r="AA16"/>
    </x:row>
    <x:row r="17">
      <x:c r="A17" s="78"/>
      <x:c r="B17" s="78" t="str">
        <x:v>Planning</x:v>
      </x:c>
      <x:c r="C17" s="78" t="str">
        <x:v>Sprint Planning Meeting</x:v>
      </x:c>
      <x:c r="D17" s="78" t="str">
        <x:v>Tuan</x:v>
      </x:c>
      <x:c r="E17" s="78" t="n">
        <x:v>3</x:v>
      </x:c>
      <x:c r="F17" s="106" t="n">
        <x:v>0</x:v>
      </x:c>
      <x:c r="G17" s="106" t="n">
        <x:v>0</x:v>
      </x:c>
      <x:c r="H17" s="106" t="n">
        <x:v>0</x:v>
      </x:c>
      <x:c r="I17" s="106" t="n">
        <x:v>0</x:v>
      </x:c>
      <x:c r="J17" s="106" t="n">
        <x:v>0</x:v>
      </x:c>
      <x:c r="K17" s="106" t="n">
        <x:v>0</x:v>
      </x:c>
      <x:c r="L17" s="106" t="n">
        <x:v>0</x:v>
      </x:c>
      <x:c r="M17" s="106" t="n">
        <x:v>0</x:v>
      </x:c>
      <x:c r="N17" s="106" t="n">
        <x:v>0</x:v>
      </x:c>
      <x:c r="O17" s="106" t="n">
        <x:v>0</x:v>
      </x:c>
      <x:c r="P17" s="106" t="n">
        <x:v>0</x:v>
      </x:c>
      <x:c r="Q17" s="106" t="n">
        <x:v>0</x:v>
      </x:c>
      <x:c r="R17" s="106" t="n">
        <x:v>0</x:v>
      </x:c>
      <x:c r="S17" s="106" t="n">
        <x:v>0</x:v>
      </x:c>
      <x:c r="T17" s="106" t="n">
        <x:v>0</x:v>
      </x:c>
      <x:c r="U17" s="106" t="n">
        <x:v>0</x:v>
      </x:c>
      <x:c r="V17" s="106" t="n">
        <x:v>0</x:v>
      </x:c>
      <x:c r="W17" s="106" t="n">
        <x:v>0</x:v>
      </x:c>
      <x:c r="X17" s="106" t="n">
        <x:v>0</x:v>
      </x:c>
      <x:c r="Y17" s="106" t="n">
        <x:v>0</x:v>
      </x:c>
      <x:c r="Z17" s="106" t="n">
        <x:v>0</x:v>
      </x:c>
      <x:c r="AA17" t="n">
        <x:v>0</x:v>
      </x:c>
    </x:row>
    <x:row r="18">
      <x:c r="A18" s="78"/>
      <x:c r="B18" s="78" t="str">
        <x:v>Planning</x:v>
      </x:c>
      <x:c r="C18" s="78" t="str">
        <x:v>Create Sprint Backlog &amp; Test Plan</x:v>
      </x:c>
      <x:c r="D18" s="78" t="str">
        <x:v>Tuan</x:v>
      </x:c>
      <x:c r="E18" s="78" t="n">
        <x:v>4</x:v>
      </x:c>
      <x:c r="F18" s="106" t="n">
        <x:v>2</x:v>
      </x:c>
      <x:c r="G18" s="106" t="n">
        <x:v>0</x:v>
      </x:c>
      <x:c r="H18" s="106" t="n">
        <x:v>0</x:v>
      </x:c>
      <x:c r="I18" s="106" t="n">
        <x:v>0</x:v>
      </x:c>
      <x:c r="J18" s="106" t="n">
        <x:v>0</x:v>
      </x:c>
      <x:c r="K18" s="106" t="n">
        <x:v>0</x:v>
      </x:c>
      <x:c r="L18" s="106" t="n">
        <x:v>0</x:v>
      </x:c>
      <x:c r="M18" s="106" t="n">
        <x:v>0</x:v>
      </x:c>
      <x:c r="N18" s="106" t="n">
        <x:v>0</x:v>
      </x:c>
      <x:c r="O18" s="106" t="n">
        <x:v>0</x:v>
      </x:c>
      <x:c r="P18" s="106" t="n">
        <x:v>0</x:v>
      </x:c>
      <x:c r="Q18" s="106" t="n">
        <x:v>0</x:v>
      </x:c>
      <x:c r="R18" s="106" t="n">
        <x:v>0</x:v>
      </x:c>
      <x:c r="S18" s="106" t="n">
        <x:v>0</x:v>
      </x:c>
      <x:c r="T18" s="106" t="n">
        <x:v>0</x:v>
      </x:c>
      <x:c r="U18" s="106" t="n">
        <x:v>0</x:v>
      </x:c>
      <x:c r="V18" s="106" t="n">
        <x:v>0</x:v>
      </x:c>
      <x:c r="W18" s="106" t="n">
        <x:v>0</x:v>
      </x:c>
      <x:c r="X18" s="106" t="n">
        <x:v>0</x:v>
      </x:c>
      <x:c r="Y18" s="106" t="n">
        <x:v>0</x:v>
      </x:c>
      <x:c r="Z18" s="106" t="n">
        <x:v>0</x:v>
      </x:c>
      <x:c r="AA18" t="n">
        <x:v>0</x:v>
      </x:c>
    </x:row>
    <x:row r="19">
      <x:c r="A19" s="78"/>
      <x:c r="B19" s="103" t="str">
        <x:v>Environment</x:v>
      </x:c>
      <x:c r="C19" s="104"/>
      <x:c r="D19" s="104"/>
      <x:c r="E19" s="104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  <x:c r="V19" s="105"/>
      <x:c r="W19" s="105"/>
      <x:c r="X19" s="105"/>
      <x:c r="Y19" s="105"/>
      <x:c r="Z19" s="105"/>
      <x:c r="AA19"/>
    </x:row>
    <x:row r="20">
      <x:c r="A20" s="78"/>
      <x:c r="B20" s="78" t="str">
        <x:v>Environment</x:v>
      </x:c>
      <x:c r="C20" s="78" t="str">
        <x:v>Configure React Web project</x:v>
      </x:c>
      <x:c r="D20" s="78" t="str">
        <x:v>Hien</x:v>
      </x:c>
      <x:c r="E20" s="78" t="n">
        <x:v>4</x:v>
      </x:c>
      <x:c r="F20" s="106" t="n">
        <x:v>4</x:v>
      </x:c>
      <x:c r="G20" s="106" t="n">
        <x:v>2</x:v>
      </x:c>
      <x:c r="H20" s="106" t="n">
        <x:v>0</x:v>
      </x:c>
      <x:c r="I20" s="106" t="n">
        <x:v>0</x:v>
      </x:c>
      <x:c r="J20" s="106" t="n">
        <x:v>0</x:v>
      </x:c>
      <x:c r="K20" s="106" t="n">
        <x:v>0</x:v>
      </x:c>
      <x:c r="L20" s="106" t="n">
        <x:v>0</x:v>
      </x:c>
      <x:c r="M20" s="106" t="n">
        <x:v>0</x:v>
      </x:c>
      <x:c r="N20" s="106" t="n">
        <x:v>0</x:v>
      </x:c>
      <x:c r="O20" s="106" t="n">
        <x:v>0</x:v>
      </x:c>
      <x:c r="P20" s="106" t="n">
        <x:v>0</x:v>
      </x:c>
      <x:c r="Q20" s="106" t="n">
        <x:v>0</x:v>
      </x:c>
      <x:c r="R20" s="106" t="n">
        <x:v>0</x:v>
      </x:c>
      <x:c r="S20" s="106" t="n">
        <x:v>0</x:v>
      </x:c>
      <x:c r="T20" s="106" t="n">
        <x:v>0</x:v>
      </x:c>
      <x:c r="U20" s="106" t="n">
        <x:v>0</x:v>
      </x:c>
      <x:c r="V20" s="106" t="n">
        <x:v>0</x:v>
      </x:c>
      <x:c r="W20" s="106" t="n">
        <x:v>0</x:v>
      </x:c>
      <x:c r="X20" s="106" t="n">
        <x:v>0</x:v>
      </x:c>
      <x:c r="Y20" s="106" t="n">
        <x:v>0</x:v>
      </x:c>
      <x:c r="Z20" s="106" t="n">
        <x:v>0</x:v>
      </x:c>
      <x:c r="AA20" t="n">
        <x:v>0</x:v>
      </x:c>
    </x:row>
    <x:row r="21">
      <x:c r="A21" s="78"/>
      <x:c r="B21" s="78" t="str">
        <x:v>Environment</x:v>
      </x:c>
      <x:c r="C21" s="78" t="str">
        <x:v>Configure Laravel Core API</x:v>
      </x:c>
      <x:c r="D21" s="78" t="str">
        <x:v>Tuan</x:v>
      </x:c>
      <x:c r="E21" s="78" t="n">
        <x:v>4</x:v>
      </x:c>
      <x:c r="F21" s="106" t="n">
        <x:v>4</x:v>
      </x:c>
      <x:c r="G21" s="106" t="n">
        <x:v>2</x:v>
      </x:c>
      <x:c r="H21" s="106" t="n">
        <x:v>0</x:v>
      </x:c>
      <x:c r="I21" s="106" t="n">
        <x:v>0</x:v>
      </x:c>
      <x:c r="J21" s="106" t="n">
        <x:v>0</x:v>
      </x:c>
      <x:c r="K21" s="106" t="n">
        <x:v>0</x:v>
      </x:c>
      <x:c r="L21" s="106" t="n">
        <x:v>0</x:v>
      </x:c>
      <x:c r="M21" s="106" t="n">
        <x:v>0</x:v>
      </x:c>
      <x:c r="N21" s="106" t="n">
        <x:v>0</x:v>
      </x:c>
      <x:c r="O21" s="106" t="n">
        <x:v>0</x:v>
      </x:c>
      <x:c r="P21" s="106" t="n">
        <x:v>0</x:v>
      </x:c>
      <x:c r="Q21" s="106" t="n">
        <x:v>0</x:v>
      </x:c>
      <x:c r="R21" s="106" t="n">
        <x:v>0</x:v>
      </x:c>
      <x:c r="S21" s="106" t="n">
        <x:v>0</x:v>
      </x:c>
      <x:c r="T21" s="106" t="n">
        <x:v>0</x:v>
      </x:c>
      <x:c r="U21" s="106" t="n">
        <x:v>0</x:v>
      </x:c>
      <x:c r="V21" s="106" t="n">
        <x:v>0</x:v>
      </x:c>
      <x:c r="W21" s="106" t="n">
        <x:v>0</x:v>
      </x:c>
      <x:c r="X21" s="106" t="n">
        <x:v>0</x:v>
      </x:c>
      <x:c r="Y21" s="106" t="n">
        <x:v>0</x:v>
      </x:c>
      <x:c r="Z21" s="106" t="n">
        <x:v>0</x:v>
      </x:c>
      <x:c r="AA21" t="n">
        <x:v>0</x:v>
      </x:c>
    </x:row>
    <x:row r="22">
      <x:c r="A22" s="78"/>
      <x:c r="B22" s="78" t="str">
        <x:v>Environment</x:v>
      </x:c>
      <x:c r="C22" s="78" t="str">
        <x:v>Configure React Native (JavaScript/JSX) project</x:v>
      </x:c>
      <x:c r="D22" s="78" t="str">
        <x:v>Quan</x:v>
      </x:c>
      <x:c r="E22" s="78" t="n">
        <x:v>4</x:v>
      </x:c>
      <x:c r="F22" s="106" t="n">
        <x:v>4</x:v>
      </x:c>
      <x:c r="G22" s="106" t="n">
        <x:v>2</x:v>
      </x:c>
      <x:c r="H22" s="106" t="n">
        <x:v>0</x:v>
      </x:c>
      <x:c r="I22" s="106" t="n">
        <x:v>0</x:v>
      </x:c>
      <x:c r="J22" s="106" t="n">
        <x:v>0</x:v>
      </x:c>
      <x:c r="K22" s="106" t="n">
        <x:v>0</x:v>
      </x:c>
      <x:c r="L22" s="106" t="n">
        <x:v>0</x:v>
      </x:c>
      <x:c r="M22" s="106" t="n">
        <x:v>0</x:v>
      </x:c>
      <x:c r="N22" s="106" t="n">
        <x:v>0</x:v>
      </x:c>
      <x:c r="O22" s="106" t="n">
        <x:v>0</x:v>
      </x:c>
      <x:c r="P22" s="106" t="n">
        <x:v>0</x:v>
      </x:c>
      <x:c r="Q22" s="106" t="n">
        <x:v>0</x:v>
      </x:c>
      <x:c r="R22" s="106" t="n">
        <x:v>0</x:v>
      </x:c>
      <x:c r="S22" s="106" t="n">
        <x:v>0</x:v>
      </x:c>
      <x:c r="T22" s="106" t="n">
        <x:v>0</x:v>
      </x:c>
      <x:c r="U22" s="106" t="n">
        <x:v>0</x:v>
      </x:c>
      <x:c r="V22" s="106" t="n">
        <x:v>0</x:v>
      </x:c>
      <x:c r="W22" s="106" t="n">
        <x:v>0</x:v>
      </x:c>
      <x:c r="X22" s="106" t="n">
        <x:v>0</x:v>
      </x:c>
      <x:c r="Y22" s="106" t="n">
        <x:v>0</x:v>
      </x:c>
      <x:c r="Z22" s="106" t="n">
        <x:v>0</x:v>
      </x:c>
      <x:c r="AA22" t="n">
        <x:v>0</x:v>
      </x:c>
    </x:row>
    <x:row r="23">
      <x:c r="A23" s="78"/>
      <x:c r="B23" s="78" t="str">
        <x:v>Environment</x:v>
      </x:c>
      <x:c r="C23" s="78" t="str">
        <x:v>Configure Microsoft SQL Server / Redis / Docker</x:v>
      </x:c>
      <x:c r="D23" s="78" t="str">
        <x:v>Luc</x:v>
      </x:c>
      <x:c r="E23" s="78" t="n">
        <x:v>5</x:v>
      </x:c>
      <x:c r="F23" s="106" t="n">
        <x:v>5</x:v>
      </x:c>
      <x:c r="G23" s="106" t="n">
        <x:v>3.5</x:v>
      </x:c>
      <x:c r="H23" s="106" t="n">
        <x:v>1.5</x:v>
      </x:c>
      <x:c r="I23" s="106" t="n">
        <x:v>0</x:v>
      </x:c>
      <x:c r="J23" s="106" t="n">
        <x:v>0</x:v>
      </x:c>
      <x:c r="K23" s="106" t="n">
        <x:v>0</x:v>
      </x:c>
      <x:c r="L23" s="106" t="n">
        <x:v>0</x:v>
      </x:c>
      <x:c r="M23" s="106" t="n">
        <x:v>0</x:v>
      </x:c>
      <x:c r="N23" s="106" t="n">
        <x:v>0</x:v>
      </x:c>
      <x:c r="O23" s="106" t="n">
        <x:v>0</x:v>
      </x:c>
      <x:c r="P23" s="106" t="n">
        <x:v>0</x:v>
      </x:c>
      <x:c r="Q23" s="106" t="n">
        <x:v>0</x:v>
      </x:c>
      <x:c r="R23" s="106" t="n">
        <x:v>0</x:v>
      </x:c>
      <x:c r="S23" s="106" t="n">
        <x:v>0</x:v>
      </x:c>
      <x:c r="T23" s="106" t="n">
        <x:v>0</x:v>
      </x:c>
      <x:c r="U23" s="106" t="n">
        <x:v>0</x:v>
      </x:c>
      <x:c r="V23" s="106" t="n">
        <x:v>0</x:v>
      </x:c>
      <x:c r="W23" s="106" t="n">
        <x:v>0</x:v>
      </x:c>
      <x:c r="X23" s="106" t="n">
        <x:v>0</x:v>
      </x:c>
      <x:c r="Y23" s="106" t="n">
        <x:v>0</x:v>
      </x:c>
      <x:c r="Z23" s="106" t="n">
        <x:v>0</x:v>
      </x:c>
      <x:c r="AA23" t="n">
        <x:v>0</x:v>
      </x:c>
    </x:row>
    <x:row r="24">
      <x:c r="A24" s="78"/>
      <x:c r="B24" s="103" t="str">
        <x:v>Design</x:v>
      </x:c>
      <x:c r="C24" s="104"/>
      <x:c r="D24" s="104"/>
      <x:c r="E24" s="104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  <x:c r="V24" s="105"/>
      <x:c r="W24" s="105"/>
      <x:c r="X24" s="105"/>
      <x:c r="Y24" s="105"/>
      <x:c r="Z24" s="105"/>
      <x:c r="AA24"/>
    </x:row>
    <x:row r="25">
      <x:c r="A25" s="78"/>
      <x:c r="B25" s="78" t="str">
        <x:v>Design</x:v>
      </x:c>
      <x:c r="C25" s="78" t="str">
        <x:v>Design Login &amp; RBAC UI</x:v>
      </x:c>
      <x:c r="D25" s="78" t="str">
        <x:v>Hien</x:v>
      </x:c>
      <x:c r="E25" s="78" t="n">
        <x:v>4</x:v>
      </x:c>
      <x:c r="F25" s="106" t="n">
        <x:v>4</x:v>
      </x:c>
      <x:c r="G25" s="106" t="n">
        <x:v>4</x:v>
      </x:c>
      <x:c r="H25" s="106" t="n">
        <x:v>2</x:v>
      </x:c>
      <x:c r="I25" s="106" t="n">
        <x:v>0</x:v>
      </x:c>
      <x:c r="J25" s="106" t="n">
        <x:v>0</x:v>
      </x:c>
      <x:c r="K25" s="106" t="n">
        <x:v>0</x:v>
      </x:c>
      <x:c r="L25" s="106" t="n">
        <x:v>0</x:v>
      </x:c>
      <x:c r="M25" s="106" t="n">
        <x:v>0</x:v>
      </x:c>
      <x:c r="N25" s="106" t="n">
        <x:v>0</x:v>
      </x:c>
      <x:c r="O25" s="106" t="n">
        <x:v>0</x:v>
      </x:c>
      <x:c r="P25" s="106" t="n">
        <x:v>0</x:v>
      </x:c>
      <x:c r="Q25" s="106" t="n">
        <x:v>0</x:v>
      </x:c>
      <x:c r="R25" s="106" t="n">
        <x:v>0</x:v>
      </x:c>
      <x:c r="S25" s="106" t="n">
        <x:v>0</x:v>
      </x:c>
      <x:c r="T25" s="106" t="n">
        <x:v>0</x:v>
      </x:c>
      <x:c r="U25" s="106" t="n">
        <x:v>0</x:v>
      </x:c>
      <x:c r="V25" s="106" t="n">
        <x:v>0</x:v>
      </x:c>
      <x:c r="W25" s="106" t="n">
        <x:v>0</x:v>
      </x:c>
      <x:c r="X25" s="106" t="n">
        <x:v>0</x:v>
      </x:c>
      <x:c r="Y25" s="106" t="n">
        <x:v>0</x:v>
      </x:c>
      <x:c r="Z25" s="106" t="n">
        <x:v>0</x:v>
      </x:c>
      <x:c r="AA25" t="n">
        <x:v>0</x:v>
      </x:c>
    </x:row>
    <x:row r="26">
      <x:c r="A26" s="78"/>
      <x:c r="B26" s="78" t="str">
        <x:v>Design</x:v>
      </x:c>
      <x:c r="C26" s="78" t="str">
        <x:v>Design Employee / Skill Management UI</x:v>
      </x:c>
      <x:c r="D26" s="78" t="str">
        <x:v>Hien</x:v>
      </x:c>
      <x:c r="E26" s="78" t="n">
        <x:v>5</x:v>
      </x:c>
      <x:c r="F26" s="106" t="n">
        <x:v>5</x:v>
      </x:c>
      <x:c r="G26" s="106" t="n">
        <x:v>5</x:v>
      </x:c>
      <x:c r="H26" s="106" t="n">
        <x:v>5</x:v>
      </x:c>
      <x:c r="I26" s="106" t="n">
        <x:v>3.5</x:v>
      </x:c>
      <x:c r="J26" s="106" t="n">
        <x:v>1.5</x:v>
      </x:c>
      <x:c r="K26" s="106" t="n">
        <x:v>0</x:v>
      </x:c>
      <x:c r="L26" s="106" t="n">
        <x:v>0</x:v>
      </x:c>
      <x:c r="M26" s="106" t="n">
        <x:v>0</x:v>
      </x:c>
      <x:c r="N26" s="106" t="n">
        <x:v>0</x:v>
      </x:c>
      <x:c r="O26" s="106" t="n">
        <x:v>0</x:v>
      </x:c>
      <x:c r="P26" s="106" t="n">
        <x:v>0</x:v>
      </x:c>
      <x:c r="Q26" s="106" t="n">
        <x:v>0</x:v>
      </x:c>
      <x:c r="R26" s="106" t="n">
        <x:v>0</x:v>
      </x:c>
      <x:c r="S26" s="106" t="n">
        <x:v>0</x:v>
      </x:c>
      <x:c r="T26" s="106" t="n">
        <x:v>0</x:v>
      </x:c>
      <x:c r="U26" s="106" t="n">
        <x:v>0</x:v>
      </x:c>
      <x:c r="V26" s="106" t="n">
        <x:v>0</x:v>
      </x:c>
      <x:c r="W26" s="106" t="n">
        <x:v>0</x:v>
      </x:c>
      <x:c r="X26" s="106" t="n">
        <x:v>0</x:v>
      </x:c>
      <x:c r="Y26" s="106" t="n">
        <x:v>0</x:v>
      </x:c>
      <x:c r="Z26" s="106" t="n">
        <x:v>0</x:v>
      </x:c>
      <x:c r="AA26" t="n">
        <x:v>0</x:v>
      </x:c>
    </x:row>
    <x:row r="27">
      <x:c r="A27" s="78"/>
      <x:c r="B27" s="78" t="str">
        <x:v>Design</x:v>
      </x:c>
      <x:c r="C27" s="78" t="str">
        <x:v>Design Staff Availability UI</x:v>
      </x:c>
      <x:c r="D27" s="78" t="str">
        <x:v>Quan</x:v>
      </x:c>
      <x:c r="E27" s="78" t="n">
        <x:v>5</x:v>
      </x:c>
      <x:c r="F27" s="106" t="n">
        <x:v>5</x:v>
      </x:c>
      <x:c r="G27" s="106" t="n">
        <x:v>5</x:v>
      </x:c>
      <x:c r="H27" s="106" t="n">
        <x:v>5</x:v>
      </x:c>
      <x:c r="I27" s="106" t="n">
        <x:v>3.5</x:v>
      </x:c>
      <x:c r="J27" s="106" t="n">
        <x:v>1.5</x:v>
      </x:c>
      <x:c r="K27" s="106" t="n">
        <x:v>0</x:v>
      </x:c>
      <x:c r="L27" s="106" t="n">
        <x:v>0</x:v>
      </x:c>
      <x:c r="M27" s="106" t="n">
        <x:v>0</x:v>
      </x:c>
      <x:c r="N27" s="106" t="n">
        <x:v>0</x:v>
      </x:c>
      <x:c r="O27" s="106" t="n">
        <x:v>0</x:v>
      </x:c>
      <x:c r="P27" s="106" t="n">
        <x:v>0</x:v>
      </x:c>
      <x:c r="Q27" s="106" t="n">
        <x:v>0</x:v>
      </x:c>
      <x:c r="R27" s="106" t="n">
        <x:v>0</x:v>
      </x:c>
      <x:c r="S27" s="106" t="n">
        <x:v>0</x:v>
      </x:c>
      <x:c r="T27" s="106" t="n">
        <x:v>0</x:v>
      </x:c>
      <x:c r="U27" s="106" t="n">
        <x:v>0</x:v>
      </x:c>
      <x:c r="V27" s="106" t="n">
        <x:v>0</x:v>
      </x:c>
      <x:c r="W27" s="106" t="n">
        <x:v>0</x:v>
      </x:c>
      <x:c r="X27" s="106" t="n">
        <x:v>0</x:v>
      </x:c>
      <x:c r="Y27" s="106" t="n">
        <x:v>0</x:v>
      </x:c>
      <x:c r="Z27" s="106" t="n">
        <x:v>0</x:v>
      </x:c>
      <x:c r="AA27" t="n">
        <x:v>0</x:v>
      </x:c>
    </x:row>
    <x:row r="28">
      <x:c r="A28" s="78"/>
      <x:c r="B28" s="78" t="str">
        <x:v>Design</x:v>
      </x:c>
      <x:c r="C28" s="78" t="str">
        <x:v>Design Shift Requirement UI</x:v>
      </x:c>
      <x:c r="D28" s="78" t="str">
        <x:v>Quan</x:v>
      </x:c>
      <x:c r="E28" s="78" t="n">
        <x:v>4</x:v>
      </x:c>
      <x:c r="F28" s="106" t="n">
        <x:v>4</x:v>
      </x:c>
      <x:c r="G28" s="106" t="n">
        <x:v>4</x:v>
      </x:c>
      <x:c r="H28" s="106" t="n">
        <x:v>4</x:v>
      </x:c>
      <x:c r="I28" s="106" t="n">
        <x:v>4</x:v>
      </x:c>
      <x:c r="J28" s="106" t="n">
        <x:v>2</x:v>
      </x:c>
      <x:c r="K28" s="106" t="n">
        <x:v>0</x:v>
      </x:c>
      <x:c r="L28" s="106" t="n">
        <x:v>0</x:v>
      </x:c>
      <x:c r="M28" s="106" t="n">
        <x:v>0</x:v>
      </x:c>
      <x:c r="N28" s="106" t="n">
        <x:v>0</x:v>
      </x:c>
      <x:c r="O28" s="106" t="n">
        <x:v>0</x:v>
      </x:c>
      <x:c r="P28" s="106" t="n">
        <x:v>0</x:v>
      </x:c>
      <x:c r="Q28" s="106" t="n">
        <x:v>0</x:v>
      </x:c>
      <x:c r="R28" s="106" t="n">
        <x:v>0</x:v>
      </x:c>
      <x:c r="S28" s="106" t="n">
        <x:v>0</x:v>
      </x:c>
      <x:c r="T28" s="106" t="n">
        <x:v>0</x:v>
      </x:c>
      <x:c r="U28" s="106" t="n">
        <x:v>0</x:v>
      </x:c>
      <x:c r="V28" s="106" t="n">
        <x:v>0</x:v>
      </x:c>
      <x:c r="W28" s="106" t="n">
        <x:v>0</x:v>
      </x:c>
      <x:c r="X28" s="106" t="n">
        <x:v>0</x:v>
      </x:c>
      <x:c r="Y28" s="106" t="n">
        <x:v>0</x:v>
      </x:c>
      <x:c r="Z28" s="106" t="n">
        <x:v>0</x:v>
      </x:c>
      <x:c r="AA28" t="n">
        <x:v>0</x:v>
      </x:c>
    </x:row>
    <x:row r="29">
      <x:c r="A29" s="78"/>
      <x:c r="B29" s="103" t="str">
        <x:v>Database</x:v>
      </x:c>
      <x:c r="C29" s="104"/>
      <x:c r="D29" s="104"/>
      <x:c r="E29" s="104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  <x:c r="V29" s="105"/>
      <x:c r="W29" s="105"/>
      <x:c r="X29" s="105"/>
      <x:c r="Y29" s="105"/>
      <x:c r="Z29" s="105"/>
      <x:c r="AA29"/>
    </x:row>
    <x:row r="30">
      <x:c r="A30" s="78"/>
      <x:c r="B30" s="78" t="str">
        <x:v>Database</x:v>
      </x:c>
      <x:c r="C30" s="78" t="str">
        <x:v>Design core database schema</x:v>
      </x:c>
      <x:c r="D30" s="78" t="str">
        <x:v>Nghia</x:v>
      </x:c>
      <x:c r="E30" s="78" t="n">
        <x:v>8</x:v>
      </x:c>
      <x:c r="F30" s="106" t="n">
        <x:v>8</x:v>
      </x:c>
      <x:c r="G30" s="106" t="n">
        <x:v>8</x:v>
      </x:c>
      <x:c r="H30" s="106" t="n">
        <x:v>6</x:v>
      </x:c>
      <x:c r="I30" s="106" t="n">
        <x:v>4</x:v>
      </x:c>
      <x:c r="J30" s="106" t="n">
        <x:v>2</x:v>
      </x:c>
      <x:c r="K30" s="106" t="n">
        <x:v>0</x:v>
      </x:c>
      <x:c r="L30" s="106" t="n">
        <x:v>0</x:v>
      </x:c>
      <x:c r="M30" s="106" t="n">
        <x:v>0</x:v>
      </x:c>
      <x:c r="N30" s="106" t="n">
        <x:v>0</x:v>
      </x:c>
      <x:c r="O30" s="106" t="n">
        <x:v>0</x:v>
      </x:c>
      <x:c r="P30" s="106" t="n">
        <x:v>0</x:v>
      </x:c>
      <x:c r="Q30" s="106" t="n">
        <x:v>0</x:v>
      </x:c>
      <x:c r="R30" s="106" t="n">
        <x:v>0</x:v>
      </x:c>
      <x:c r="S30" s="106" t="n">
        <x:v>0</x:v>
      </x:c>
      <x:c r="T30" s="106" t="n">
        <x:v>0</x:v>
      </x:c>
      <x:c r="U30" s="106" t="n">
        <x:v>0</x:v>
      </x:c>
      <x:c r="V30" s="106" t="n">
        <x:v>0</x:v>
      </x:c>
      <x:c r="W30" s="106" t="n">
        <x:v>0</x:v>
      </x:c>
      <x:c r="X30" s="106" t="n">
        <x:v>0</x:v>
      </x:c>
      <x:c r="Y30" s="106" t="n">
        <x:v>0</x:v>
      </x:c>
      <x:c r="Z30" s="106" t="n">
        <x:v>0</x:v>
      </x:c>
      <x:c r="AA30" t="n">
        <x:v>0</x:v>
      </x:c>
    </x:row>
    <x:row r="31">
      <x:c r="A31" s="78"/>
      <x:c r="B31" s="103" t="str">
        <x:v>Backend</x:v>
      </x:c>
      <x:c r="C31" s="104"/>
      <x:c r="D31" s="104"/>
      <x:c r="E31" s="104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  <x:c r="V31" s="105"/>
      <x:c r="W31" s="105"/>
      <x:c r="X31" s="105"/>
      <x:c r="Y31" s="105"/>
      <x:c r="Z31" s="105"/>
      <x:c r="AA31"/>
    </x:row>
    <x:row r="32">
      <x:c r="A32" s="78"/>
      <x:c r="B32" s="78" t="str">
        <x:v>Backend</x:v>
      </x:c>
      <x:c r="C32" s="78" t="str">
        <x:v>Implement JWT authentication &amp; RBAC</x:v>
      </x:c>
      <x:c r="D32" s="78" t="str">
        <x:v>Tuan</x:v>
      </x:c>
      <x:c r="E32" s="78" t="n">
        <x:v>10</x:v>
      </x:c>
      <x:c r="F32" s="106" t="n">
        <x:v>10</x:v>
      </x:c>
      <x:c r="G32" s="106" t="n">
        <x:v>10</x:v>
      </x:c>
      <x:c r="H32" s="106" t="n">
        <x:v>10</x:v>
      </x:c>
      <x:c r="I32" s="106" t="n">
        <x:v>10</x:v>
      </x:c>
      <x:c r="J32" s="106" t="n">
        <x:v>8</x:v>
      </x:c>
      <x:c r="K32" s="106" t="n">
        <x:v>6</x:v>
      </x:c>
      <x:c r="L32" s="106" t="n">
        <x:v>4</x:v>
      </x:c>
      <x:c r="M32" s="106" t="n">
        <x:v>2</x:v>
      </x:c>
      <x:c r="N32" s="106" t="n">
        <x:v>0</x:v>
      </x:c>
      <x:c r="O32" s="106" t="n">
        <x:v>0</x:v>
      </x:c>
      <x:c r="P32" s="106" t="n">
        <x:v>0</x:v>
      </x:c>
      <x:c r="Q32" s="106" t="n">
        <x:v>0</x:v>
      </x:c>
      <x:c r="R32" s="106" t="n">
        <x:v>0</x:v>
      </x:c>
      <x:c r="S32" s="106" t="n">
        <x:v>0</x:v>
      </x:c>
      <x:c r="T32" s="106" t="n">
        <x:v>0</x:v>
      </x:c>
      <x:c r="U32" s="106" t="n">
        <x:v>0</x:v>
      </x:c>
      <x:c r="V32" s="106" t="n">
        <x:v>0</x:v>
      </x:c>
      <x:c r="W32" s="106" t="n">
        <x:v>0</x:v>
      </x:c>
      <x:c r="X32" s="106" t="n">
        <x:v>0</x:v>
      </x:c>
      <x:c r="Y32" s="106" t="n">
        <x:v>0</x:v>
      </x:c>
      <x:c r="Z32" s="106" t="n">
        <x:v>0</x:v>
      </x:c>
      <x:c r="AA32" t="n">
        <x:v>0</x:v>
      </x:c>
    </x:row>
    <x:row r="33">
      <x:c r="A33" s="78"/>
      <x:c r="B33" s="78" t="str">
        <x:v>Backend</x:v>
      </x:c>
      <x:c r="C33" s="78" t="str">
        <x:v>Implement Employee / Contract / Skill APIs</x:v>
      </x:c>
      <x:c r="D33" s="78" t="str">
        <x:v>Nghia</x:v>
      </x:c>
      <x:c r="E33" s="78" t="n">
        <x:v>10</x:v>
      </x:c>
      <x:c r="F33" s="106" t="n">
        <x:v>10</x:v>
      </x:c>
      <x:c r="G33" s="106" t="n">
        <x:v>10</x:v>
      </x:c>
      <x:c r="H33" s="106" t="n">
        <x:v>10</x:v>
      </x:c>
      <x:c r="I33" s="106" t="n">
        <x:v>10</x:v>
      </x:c>
      <x:c r="J33" s="106" t="n">
        <x:v>10</x:v>
      </x:c>
      <x:c r="K33" s="106" t="n">
        <x:v>10</x:v>
      </x:c>
      <x:c r="L33" s="106" t="n">
        <x:v>8</x:v>
      </x:c>
      <x:c r="M33" s="106" t="n">
        <x:v>6</x:v>
      </x:c>
      <x:c r="N33" s="106" t="n">
        <x:v>4</x:v>
      </x:c>
      <x:c r="O33" s="106" t="n">
        <x:v>2</x:v>
      </x:c>
      <x:c r="P33" s="106" t="n">
        <x:v>0</x:v>
      </x:c>
      <x:c r="Q33" s="106" t="n">
        <x:v>0</x:v>
      </x:c>
      <x:c r="R33" s="106" t="n">
        <x:v>0</x:v>
      </x:c>
      <x:c r="S33" s="106" t="n">
        <x:v>0</x:v>
      </x:c>
      <x:c r="T33" s="106" t="n">
        <x:v>0</x:v>
      </x:c>
      <x:c r="U33" s="106" t="n">
        <x:v>0</x:v>
      </x:c>
      <x:c r="V33" s="106" t="n">
        <x:v>0</x:v>
      </x:c>
      <x:c r="W33" s="106" t="n">
        <x:v>0</x:v>
      </x:c>
      <x:c r="X33" s="106" t="n">
        <x:v>0</x:v>
      </x:c>
      <x:c r="Y33" s="106" t="n">
        <x:v>0</x:v>
      </x:c>
      <x:c r="Z33" s="106" t="n">
        <x:v>0</x:v>
      </x:c>
      <x:c r="AA33" t="n">
        <x:v>0</x:v>
      </x:c>
    </x:row>
    <x:row r="34">
      <x:c r="A34" s="78"/>
      <x:c r="B34" s="78" t="str">
        <x:v>Backend</x:v>
      </x:c>
      <x:c r="C34" s="78" t="str">
        <x:v>Implement Availability APIs</x:v>
      </x:c>
      <x:c r="D34" s="78" t="str">
        <x:v>Tuan</x:v>
      </x:c>
      <x:c r="E34" s="78" t="n">
        <x:v>8</x:v>
      </x:c>
      <x:c r="F34" s="106" t="n">
        <x:v>8</x:v>
      </x:c>
      <x:c r="G34" s="106" t="n">
        <x:v>8</x:v>
      </x:c>
      <x:c r="H34" s="106" t="n">
        <x:v>8</x:v>
      </x:c>
      <x:c r="I34" s="106" t="n">
        <x:v>8</x:v>
      </x:c>
      <x:c r="J34" s="106" t="n">
        <x:v>8</x:v>
      </x:c>
      <x:c r="K34" s="106" t="n">
        <x:v>8</x:v>
      </x:c>
      <x:c r="L34" s="106" t="n">
        <x:v>8</x:v>
      </x:c>
      <x:c r="M34" s="106" t="n">
        <x:v>8</x:v>
      </x:c>
      <x:c r="N34" s="106" t="n">
        <x:v>6</x:v>
      </x:c>
      <x:c r="O34" s="106" t="n">
        <x:v>4</x:v>
      </x:c>
      <x:c r="P34" s="106" t="n">
        <x:v>2</x:v>
      </x:c>
      <x:c r="Q34" s="106" t="n">
        <x:v>0</x:v>
      </x:c>
      <x:c r="R34" s="106" t="n">
        <x:v>0</x:v>
      </x:c>
      <x:c r="S34" s="106" t="n">
        <x:v>0</x:v>
      </x:c>
      <x:c r="T34" s="106" t="n">
        <x:v>0</x:v>
      </x:c>
      <x:c r="U34" s="106" t="n">
        <x:v>0</x:v>
      </x:c>
      <x:c r="V34" s="106" t="n">
        <x:v>0</x:v>
      </x:c>
      <x:c r="W34" s="106" t="n">
        <x:v>0</x:v>
      </x:c>
      <x:c r="X34" s="106" t="n">
        <x:v>0</x:v>
      </x:c>
      <x:c r="Y34" s="106" t="n">
        <x:v>0</x:v>
      </x:c>
      <x:c r="Z34" s="106" t="n">
        <x:v>0</x:v>
      </x:c>
      <x:c r="AA34" t="n">
        <x:v>0</x:v>
      </x:c>
    </x:row>
    <x:row r="35">
      <x:c r="A35" s="78"/>
      <x:c r="B35" s="78" t="str">
        <x:v>Backend</x:v>
      </x:c>
      <x:c r="C35" s="78" t="str">
        <x:v>Implement Shift &amp; Staffing Requirement APIs</x:v>
      </x:c>
      <x:c r="D35" s="78" t="str">
        <x:v>Nghia</x:v>
      </x:c>
      <x:c r="E35" s="78" t="n">
        <x:v>8</x:v>
      </x:c>
      <x:c r="F35" s="106" t="n">
        <x:v>8</x:v>
      </x:c>
      <x:c r="G35" s="106" t="n">
        <x:v>8</x:v>
      </x:c>
      <x:c r="H35" s="106" t="n">
        <x:v>8</x:v>
      </x:c>
      <x:c r="I35" s="106" t="n">
        <x:v>8</x:v>
      </x:c>
      <x:c r="J35" s="106" t="n">
        <x:v>8</x:v>
      </x:c>
      <x:c r="K35" s="106" t="n">
        <x:v>8</x:v>
      </x:c>
      <x:c r="L35" s="106" t="n">
        <x:v>8</x:v>
      </x:c>
      <x:c r="M35" s="106" t="n">
        <x:v>8</x:v>
      </x:c>
      <x:c r="N35" s="106" t="n">
        <x:v>8</x:v>
      </x:c>
      <x:c r="O35" s="106" t="n">
        <x:v>8</x:v>
      </x:c>
      <x:c r="P35" s="106" t="n">
        <x:v>6</x:v>
      </x:c>
      <x:c r="Q35" s="106" t="n">
        <x:v>4</x:v>
      </x:c>
      <x:c r="R35" s="106" t="n">
        <x:v>2</x:v>
      </x:c>
      <x:c r="S35" s="106" t="n">
        <x:v>0</x:v>
      </x:c>
      <x:c r="T35" s="106" t="n">
        <x:v>0</x:v>
      </x:c>
      <x:c r="U35" s="106" t="n">
        <x:v>0</x:v>
      </x:c>
      <x:c r="V35" s="106" t="n">
        <x:v>0</x:v>
      </x:c>
      <x:c r="W35" s="106" t="n">
        <x:v>0</x:v>
      </x:c>
      <x:c r="X35" s="106" t="n">
        <x:v>0</x:v>
      </x:c>
      <x:c r="Y35" s="106" t="n">
        <x:v>0</x:v>
      </x:c>
      <x:c r="Z35" s="106" t="n">
        <x:v>0</x:v>
      </x:c>
      <x:c r="AA35" t="n">
        <x:v>0</x:v>
      </x:c>
    </x:row>
    <x:row r="36">
      <x:c r="A36" s="78"/>
      <x:c r="B36" s="103" t="str">
        <x:v>Web</x:v>
      </x:c>
      <x:c r="C36" s="104"/>
      <x:c r="D36" s="104"/>
      <x:c r="E36" s="104"/>
      <x:c r="F36" s="105"/>
      <x:c r="G36" s="105"/>
      <x:c r="H36" s="105"/>
      <x:c r="I36" s="105"/>
      <x:c r="J36" s="105"/>
      <x:c r="K36" s="105"/>
      <x:c r="L36" s="105"/>
      <x:c r="M36" s="105"/>
      <x:c r="N36" s="105"/>
      <x:c r="O36" s="105"/>
      <x:c r="P36" s="105"/>
      <x:c r="Q36" s="105"/>
      <x:c r="R36" s="105"/>
      <x:c r="S36" s="105"/>
      <x:c r="T36" s="105"/>
      <x:c r="U36" s="105"/>
      <x:c r="V36" s="105"/>
      <x:c r="W36" s="105"/>
      <x:c r="X36" s="105"/>
      <x:c r="Y36" s="105"/>
      <x:c r="Z36" s="105"/>
      <x:c r="AA36"/>
    </x:row>
    <x:row r="37">
      <x:c r="A37" s="78"/>
      <x:c r="B37" s="78" t="str">
        <x:v>Web</x:v>
      </x:c>
      <x:c r="C37" s="78" t="str">
        <x:v>Implement Login / Account screens</x:v>
      </x:c>
      <x:c r="D37" s="78" t="str">
        <x:v>Hien</x:v>
      </x:c>
      <x:c r="E37" s="78" t="n">
        <x:v>7</x:v>
      </x:c>
      <x:c r="F37" s="106" t="n">
        <x:v>7</x:v>
      </x:c>
      <x:c r="G37" s="106" t="n">
        <x:v>7</x:v>
      </x:c>
      <x:c r="H37" s="106" t="n">
        <x:v>7</x:v>
      </x:c>
      <x:c r="I37" s="106" t="n">
        <x:v>7</x:v>
      </x:c>
      <x:c r="J37" s="106" t="n">
        <x:v>7</x:v>
      </x:c>
      <x:c r="K37" s="106" t="n">
        <x:v>5</x:v>
      </x:c>
      <x:c r="L37" s="106" t="n">
        <x:v>3.5</x:v>
      </x:c>
      <x:c r="M37" s="106" t="n">
        <x:v>2</x:v>
      </x:c>
      <x:c r="N37" s="106" t="n">
        <x:v>0</x:v>
      </x:c>
      <x:c r="O37" s="106" t="n">
        <x:v>0</x:v>
      </x:c>
      <x:c r="P37" s="106" t="n">
        <x:v>0</x:v>
      </x:c>
      <x:c r="Q37" s="106" t="n">
        <x:v>0</x:v>
      </x:c>
      <x:c r="R37" s="106" t="n">
        <x:v>0</x:v>
      </x:c>
      <x:c r="S37" s="106" t="n">
        <x:v>0</x:v>
      </x:c>
      <x:c r="T37" s="106" t="n">
        <x:v>0</x:v>
      </x:c>
      <x:c r="U37" s="106" t="n">
        <x:v>0</x:v>
      </x:c>
      <x:c r="V37" s="106" t="n">
        <x:v>0</x:v>
      </x:c>
      <x:c r="W37" s="106" t="n">
        <x:v>0</x:v>
      </x:c>
      <x:c r="X37" s="106" t="n">
        <x:v>0</x:v>
      </x:c>
      <x:c r="Y37" s="106" t="n">
        <x:v>0</x:v>
      </x:c>
      <x:c r="Z37" s="106" t="n">
        <x:v>0</x:v>
      </x:c>
      <x:c r="AA37" t="n">
        <x:v>0</x:v>
      </x:c>
    </x:row>
    <x:row r="38">
      <x:c r="A38" s="78"/>
      <x:c r="B38" s="78" t="str">
        <x:v>Web</x:v>
      </x:c>
      <x:c r="C38" s="78" t="str">
        <x:v>Implement Employee / Skill screens</x:v>
      </x:c>
      <x:c r="D38" s="78" t="str">
        <x:v>Hien</x:v>
      </x:c>
      <x:c r="E38" s="78" t="n">
        <x:v>9</x:v>
      </x:c>
      <x:c r="F38" s="106" t="n">
        <x:v>9</x:v>
      </x:c>
      <x:c r="G38" s="106" t="n">
        <x:v>9</x:v>
      </x:c>
      <x:c r="H38" s="106" t="n">
        <x:v>9</x:v>
      </x:c>
      <x:c r="I38" s="106" t="n">
        <x:v>9</x:v>
      </x:c>
      <x:c r="J38" s="106" t="n">
        <x:v>9</x:v>
      </x:c>
      <x:c r="K38" s="106" t="n">
        <x:v>9</x:v>
      </x:c>
      <x:c r="L38" s="106" t="n">
        <x:v>9</x:v>
      </x:c>
      <x:c r="M38" s="106" t="n">
        <x:v>9</x:v>
      </x:c>
      <x:c r="N38" s="106" t="n">
        <x:v>7</x:v>
      </x:c>
      <x:c r="O38" s="106" t="n">
        <x:v>5.5</x:v>
      </x:c>
      <x:c r="P38" s="106" t="n">
        <x:v>3.5</x:v>
      </x:c>
      <x:c r="Q38" s="106" t="n">
        <x:v>2</x:v>
      </x:c>
      <x:c r="R38" s="106" t="n">
        <x:v>0</x:v>
      </x:c>
      <x:c r="S38" s="106" t="n">
        <x:v>0</x:v>
      </x:c>
      <x:c r="T38" s="106" t="n">
        <x:v>0</x:v>
      </x:c>
      <x:c r="U38" s="106" t="n">
        <x:v>0</x:v>
      </x:c>
      <x:c r="V38" s="106" t="n">
        <x:v>0</x:v>
      </x:c>
      <x:c r="W38" s="106" t="n">
        <x:v>0</x:v>
      </x:c>
      <x:c r="X38" s="106" t="n">
        <x:v>0</x:v>
      </x:c>
      <x:c r="Y38" s="106" t="n">
        <x:v>0</x:v>
      </x:c>
      <x:c r="Z38" s="106" t="n">
        <x:v>0</x:v>
      </x:c>
      <x:c r="AA38" t="n">
        <x:v>0</x:v>
      </x:c>
    </x:row>
    <x:row r="39">
      <x:c r="A39" s="78"/>
      <x:c r="B39" s="103" t="str">
        <x:v>React Native</x:v>
      </x:c>
      <x:c r="C39" s="104"/>
      <x:c r="D39" s="104"/>
      <x:c r="E39" s="104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  <x:c r="V39" s="105"/>
      <x:c r="W39" s="105"/>
      <x:c r="X39" s="105"/>
      <x:c r="Y39" s="105"/>
      <x:c r="Z39" s="105"/>
      <x:c r="AA39"/>
    </x:row>
    <x:row r="40">
      <x:c r="A40" s="78"/>
      <x:c r="B40" s="78" t="str">
        <x:v>React Native</x:v>
      </x:c>
      <x:c r="C40" s="78" t="str">
        <x:v>Implement Staff Login / Profile (React Native)</x:v>
      </x:c>
      <x:c r="D40" s="78" t="str">
        <x:v>Quan</x:v>
      </x:c>
      <x:c r="E40" s="78" t="n">
        <x:v>6</x:v>
      </x:c>
      <x:c r="F40" s="106" t="n">
        <x:v>6</x:v>
      </x:c>
      <x:c r="G40" s="106" t="n">
        <x:v>6</x:v>
      </x:c>
      <x:c r="H40" s="106" t="n">
        <x:v>6</x:v>
      </x:c>
      <x:c r="I40" s="106" t="n">
        <x:v>6</x:v>
      </x:c>
      <x:c r="J40" s="106" t="n">
        <x:v>6</x:v>
      </x:c>
      <x:c r="K40" s="106" t="n">
        <x:v>6</x:v>
      </x:c>
      <x:c r="L40" s="106" t="n">
        <x:v>4.5</x:v>
      </x:c>
      <x:c r="M40" s="106" t="n">
        <x:v>3</x:v>
      </x:c>
      <x:c r="N40" s="106" t="n">
        <x:v>1.5</x:v>
      </x:c>
      <x:c r="O40" s="106" t="n">
        <x:v>0</x:v>
      </x:c>
      <x:c r="P40" s="106" t="n">
        <x:v>0</x:v>
      </x:c>
      <x:c r="Q40" s="106" t="n">
        <x:v>0</x:v>
      </x:c>
      <x:c r="R40" s="106" t="n">
        <x:v>0</x:v>
      </x:c>
      <x:c r="S40" s="106" t="n">
        <x:v>0</x:v>
      </x:c>
      <x:c r="T40" s="106" t="n">
        <x:v>0</x:v>
      </x:c>
      <x:c r="U40" s="106" t="n">
        <x:v>0</x:v>
      </x:c>
      <x:c r="V40" s="106" t="n">
        <x:v>0</x:v>
      </x:c>
      <x:c r="W40" s="106" t="n">
        <x:v>0</x:v>
      </x:c>
      <x:c r="X40" s="106" t="n">
        <x:v>0</x:v>
      </x:c>
      <x:c r="Y40" s="106" t="n">
        <x:v>0</x:v>
      </x:c>
      <x:c r="Z40" s="106" t="n">
        <x:v>0</x:v>
      </x:c>
      <x:c r="AA40" t="n">
        <x:v>0</x:v>
      </x:c>
    </x:row>
    <x:row r="41">
      <x:c r="A41" s="78"/>
      <x:c r="B41" s="78" t="str">
        <x:v>React Native</x:v>
      </x:c>
      <x:c r="C41" s="78" t="str">
        <x:v>Implement Weekly Availability registration (React Native)</x:v>
      </x:c>
      <x:c r="D41" s="78" t="str">
        <x:v>Quan</x:v>
      </x:c>
      <x:c r="E41" s="78" t="n">
        <x:v>9</x:v>
      </x:c>
      <x:c r="F41" s="106" t="n">
        <x:v>9</x:v>
      </x:c>
      <x:c r="G41" s="106" t="n">
        <x:v>9</x:v>
      </x:c>
      <x:c r="H41" s="106" t="n">
        <x:v>9</x:v>
      </x:c>
      <x:c r="I41" s="106" t="n">
        <x:v>9</x:v>
      </x:c>
      <x:c r="J41" s="106" t="n">
        <x:v>9</x:v>
      </x:c>
      <x:c r="K41" s="106" t="n">
        <x:v>9</x:v>
      </x:c>
      <x:c r="L41" s="106" t="n">
        <x:v>9</x:v>
      </x:c>
      <x:c r="M41" s="106" t="n">
        <x:v>9</x:v>
      </x:c>
      <x:c r="N41" s="106" t="n">
        <x:v>9</x:v>
      </x:c>
      <x:c r="O41" s="106" t="n">
        <x:v>7</x:v>
      </x:c>
      <x:c r="P41" s="106" t="n">
        <x:v>5.5</x:v>
      </x:c>
      <x:c r="Q41" s="106" t="n">
        <x:v>3.5</x:v>
      </x:c>
      <x:c r="R41" s="106" t="n">
        <x:v>2</x:v>
      </x:c>
      <x:c r="S41" s="106" t="n">
        <x:v>0</x:v>
      </x:c>
      <x:c r="T41" s="106" t="n">
        <x:v>0</x:v>
      </x:c>
      <x:c r="U41" s="106" t="n">
        <x:v>0</x:v>
      </x:c>
      <x:c r="V41" s="106" t="n">
        <x:v>0</x:v>
      </x:c>
      <x:c r="W41" s="106" t="n">
        <x:v>0</x:v>
      </x:c>
      <x:c r="X41" s="106" t="n">
        <x:v>0</x:v>
      </x:c>
      <x:c r="Y41" s="106" t="n">
        <x:v>0</x:v>
      </x:c>
      <x:c r="Z41" s="106" t="n">
        <x:v>0</x:v>
      </x:c>
      <x:c r="AA41" t="n">
        <x:v>0</x:v>
      </x:c>
    </x:row>
    <x:row r="42">
      <x:c r="A42" s="78"/>
      <x:c r="B42" s="103" t="str">
        <x:v>Integration</x:v>
      </x:c>
      <x:c r="C42" s="104"/>
      <x:c r="D42" s="104"/>
      <x:c r="E42" s="104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  <x:c r="V42" s="105"/>
      <x:c r="W42" s="105"/>
      <x:c r="X42" s="105"/>
      <x:c r="Y42" s="105"/>
      <x:c r="Z42" s="105"/>
      <x:c r="AA42"/>
    </x:row>
    <x:row r="43">
      <x:c r="A43" s="78"/>
      <x:c r="B43" s="78" t="str">
        <x:v>Integration</x:v>
      </x:c>
      <x:c r="C43" s="78" t="str">
        <x:v>Connect React Web / React Native to Laravel APIs</x:v>
      </x:c>
      <x:c r="D43" s="78" t="str">
        <x:v>Luc</x:v>
      </x:c>
      <x:c r="E43" s="78" t="n">
        <x:v>8</x:v>
      </x:c>
      <x:c r="F43" s="106" t="n">
        <x:v>8</x:v>
      </x:c>
      <x:c r="G43" s="106" t="n">
        <x:v>8</x:v>
      </x:c>
      <x:c r="H43" s="106" t="n">
        <x:v>8</x:v>
      </x:c>
      <x:c r="I43" s="106" t="n">
        <x:v>8</x:v>
      </x:c>
      <x:c r="J43" s="106" t="n">
        <x:v>8</x:v>
      </x:c>
      <x:c r="K43" s="106" t="n">
        <x:v>8</x:v>
      </x:c>
      <x:c r="L43" s="106" t="n">
        <x:v>8</x:v>
      </x:c>
      <x:c r="M43" s="106" t="n">
        <x:v>8</x:v>
      </x:c>
      <x:c r="N43" s="106" t="n">
        <x:v>8</x:v>
      </x:c>
      <x:c r="O43" s="106" t="n">
        <x:v>8</x:v>
      </x:c>
      <x:c r="P43" s="106" t="n">
        <x:v>8</x:v>
      </x:c>
      <x:c r="Q43" s="106" t="n">
        <x:v>6</x:v>
      </x:c>
      <x:c r="R43" s="106" t="n">
        <x:v>4</x:v>
      </x:c>
      <x:c r="S43" s="106" t="n">
        <x:v>2</x:v>
      </x:c>
      <x:c r="T43" s="106" t="n">
        <x:v>0</x:v>
      </x:c>
      <x:c r="U43" s="106" t="n">
        <x:v>0</x:v>
      </x:c>
      <x:c r="V43" s="106" t="n">
        <x:v>0</x:v>
      </x:c>
      <x:c r="W43" s="106" t="n">
        <x:v>0</x:v>
      </x:c>
      <x:c r="X43" s="106" t="n">
        <x:v>0</x:v>
      </x:c>
      <x:c r="Y43" s="106" t="n">
        <x:v>0</x:v>
      </x:c>
      <x:c r="Z43" s="106" t="n">
        <x:v>0</x:v>
      </x:c>
      <x:c r="AA43" t="n">
        <x:v>0</x:v>
      </x:c>
    </x:row>
    <x:row r="44">
      <x:c r="A44" s="78"/>
      <x:c r="B44" s="103" t="str">
        <x:v>Testing</x:v>
      </x:c>
      <x:c r="C44" s="104"/>
      <x:c r="D44" s="104"/>
      <x:c r="E44" s="104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  <x:c r="V44" s="105"/>
      <x:c r="W44" s="105"/>
      <x:c r="X44" s="105"/>
      <x:c r="Y44" s="105"/>
      <x:c r="Z44" s="105"/>
      <x:c r="AA44"/>
    </x:row>
    <x:row r="45">
      <x:c r="A45" s="78"/>
      <x:c r="B45" s="78" t="str">
        <x:v>Testing</x:v>
      </x:c>
      <x:c r="C45" s="78" t="str">
        <x:v>Unit tests for Auth / RBAC / Employee</x:v>
      </x:c>
      <x:c r="D45" s="78" t="str">
        <x:v>Tuan</x:v>
      </x:c>
      <x:c r="E45" s="78" t="n">
        <x:v>6</x:v>
      </x:c>
      <x:c r="F45" s="106" t="n">
        <x:v>6</x:v>
      </x:c>
      <x:c r="G45" s="106" t="n">
        <x:v>6</x:v>
      </x:c>
      <x:c r="H45" s="106" t="n">
        <x:v>6</x:v>
      </x:c>
      <x:c r="I45" s="106" t="n">
        <x:v>6</x:v>
      </x:c>
      <x:c r="J45" s="106" t="n">
        <x:v>6</x:v>
      </x:c>
      <x:c r="K45" s="106" t="n">
        <x:v>6</x:v>
      </x:c>
      <x:c r="L45" s="106" t="n">
        <x:v>6</x:v>
      </x:c>
      <x:c r="M45" s="106" t="n">
        <x:v>6</x:v>
      </x:c>
      <x:c r="N45" s="106" t="n">
        <x:v>6</x:v>
      </x:c>
      <x:c r="O45" s="106" t="n">
        <x:v>6</x:v>
      </x:c>
      <x:c r="P45" s="106" t="n">
        <x:v>6</x:v>
      </x:c>
      <x:c r="Q45" s="106" t="n">
        <x:v>6</x:v>
      </x:c>
      <x:c r="R45" s="106" t="n">
        <x:v>6</x:v>
      </x:c>
      <x:c r="S45" s="106" t="n">
        <x:v>4.5</x:v>
      </x:c>
      <x:c r="T45" s="106" t="n">
        <x:v>3</x:v>
      </x:c>
      <x:c r="U45" s="106" t="n">
        <x:v>1.5</x:v>
      </x:c>
      <x:c r="V45" s="106" t="n">
        <x:v>0</x:v>
      </x:c>
      <x:c r="W45" s="106" t="n">
        <x:v>0</x:v>
      </x:c>
      <x:c r="X45" s="106" t="n">
        <x:v>0</x:v>
      </x:c>
      <x:c r="Y45" s="106" t="n">
        <x:v>0</x:v>
      </x:c>
      <x:c r="Z45" s="106" t="n">
        <x:v>0</x:v>
      </x:c>
      <x:c r="AA45" t="n">
        <x:v>0</x:v>
      </x:c>
    </x:row>
    <x:row r="46">
      <x:c r="A46" s="78"/>
      <x:c r="B46" s="78" t="str">
        <x:v>Testing</x:v>
      </x:c>
      <x:c r="C46" s="78" t="str">
        <x:v>API tests for Availability / Shift</x:v>
      </x:c>
      <x:c r="D46" s="78" t="str">
        <x:v>Nghia</x:v>
      </x:c>
      <x:c r="E46" s="78" t="n">
        <x:v>6</x:v>
      </x:c>
      <x:c r="F46" s="106" t="n">
        <x:v>6</x:v>
      </x:c>
      <x:c r="G46" s="106" t="n">
        <x:v>6</x:v>
      </x:c>
      <x:c r="H46" s="106" t="n">
        <x:v>6</x:v>
      </x:c>
      <x:c r="I46" s="106" t="n">
        <x:v>6</x:v>
      </x:c>
      <x:c r="J46" s="106" t="n">
        <x:v>6</x:v>
      </x:c>
      <x:c r="K46" s="106" t="n">
        <x:v>6</x:v>
      </x:c>
      <x:c r="L46" s="106" t="n">
        <x:v>6</x:v>
      </x:c>
      <x:c r="M46" s="106" t="n">
        <x:v>6</x:v>
      </x:c>
      <x:c r="N46" s="106" t="n">
        <x:v>6</x:v>
      </x:c>
      <x:c r="O46" s="106" t="n">
        <x:v>6</x:v>
      </x:c>
      <x:c r="P46" s="106" t="n">
        <x:v>6</x:v>
      </x:c>
      <x:c r="Q46" s="106" t="n">
        <x:v>6</x:v>
      </x:c>
      <x:c r="R46" s="106" t="n">
        <x:v>6</x:v>
      </x:c>
      <x:c r="S46" s="106" t="n">
        <x:v>6</x:v>
      </x:c>
      <x:c r="T46" s="106" t="n">
        <x:v>4</x:v>
      </x:c>
      <x:c r="U46" s="106" t="n">
        <x:v>2</x:v>
      </x:c>
      <x:c r="V46" s="106" t="n">
        <x:v>0</x:v>
      </x:c>
      <x:c r="W46" s="106" t="n">
        <x:v>0</x:v>
      </x:c>
      <x:c r="X46" s="106" t="n">
        <x:v>0</x:v>
      </x:c>
      <x:c r="Y46" s="106" t="n">
        <x:v>0</x:v>
      </x:c>
      <x:c r="Z46" s="106" t="n">
        <x:v>0</x:v>
      </x:c>
      <x:c r="AA46" t="n">
        <x:v>0</x:v>
      </x:c>
    </x:row>
    <x:row r="47">
      <x:c r="A47" s="78"/>
      <x:c r="B47" s="78" t="str">
        <x:v>Testing</x:v>
      </x:c>
      <x:c r="C47" s="78" t="str">
        <x:v>UI functional testing</x:v>
      </x:c>
      <x:c r="D47" s="78" t="str">
        <x:v>Hien</x:v>
      </x:c>
      <x:c r="E47" s="78" t="n">
        <x:v>5</x:v>
      </x:c>
      <x:c r="F47" s="106" t="n">
        <x:v>5</x:v>
      </x:c>
      <x:c r="G47" s="106" t="n">
        <x:v>5</x:v>
      </x:c>
      <x:c r="H47" s="106" t="n">
        <x:v>5</x:v>
      </x:c>
      <x:c r="I47" s="106" t="n">
        <x:v>5</x:v>
      </x:c>
      <x:c r="J47" s="106" t="n">
        <x:v>5</x:v>
      </x:c>
      <x:c r="K47" s="106" t="n">
        <x:v>5</x:v>
      </x:c>
      <x:c r="L47" s="106" t="n">
        <x:v>5</x:v>
      </x:c>
      <x:c r="M47" s="106" t="n">
        <x:v>5</x:v>
      </x:c>
      <x:c r="N47" s="106" t="n">
        <x:v>5</x:v>
      </x:c>
      <x:c r="O47" s="106" t="n">
        <x:v>5</x:v>
      </x:c>
      <x:c r="P47" s="106" t="n">
        <x:v>5</x:v>
      </x:c>
      <x:c r="Q47" s="106" t="n">
        <x:v>5</x:v>
      </x:c>
      <x:c r="R47" s="106" t="n">
        <x:v>5</x:v>
      </x:c>
      <x:c r="S47" s="106" t="n">
        <x:v>5</x:v>
      </x:c>
      <x:c r="T47" s="106" t="n">
        <x:v>5</x:v>
      </x:c>
      <x:c r="U47" s="106" t="n">
        <x:v>3.5</x:v>
      </x:c>
      <x:c r="V47" s="106" t="n">
        <x:v>1.5</x:v>
      </x:c>
      <x:c r="W47" s="106" t="n">
        <x:v>0</x:v>
      </x:c>
      <x:c r="X47" s="106" t="n">
        <x:v>0</x:v>
      </x:c>
      <x:c r="Y47" s="106" t="n">
        <x:v>0</x:v>
      </x:c>
      <x:c r="Z47" s="106" t="n">
        <x:v>0</x:v>
      </x:c>
      <x:c r="AA47" t="n">
        <x:v>0</x:v>
      </x:c>
    </x:row>
    <x:row r="48">
      <x:c r="A48" s="78"/>
      <x:c r="B48" s="78" t="str">
        <x:v>Testing</x:v>
      </x:c>
      <x:c r="C48" s="78" t="str">
        <x:v>React Native functional testing</x:v>
      </x:c>
      <x:c r="D48" s="78" t="str">
        <x:v>Quan</x:v>
      </x:c>
      <x:c r="E48" s="78" t="n">
        <x:v>5</x:v>
      </x:c>
      <x:c r="F48" s="106" t="n">
        <x:v>5</x:v>
      </x:c>
      <x:c r="G48" s="106" t="n">
        <x:v>5</x:v>
      </x:c>
      <x:c r="H48" s="106" t="n">
        <x:v>5</x:v>
      </x:c>
      <x:c r="I48" s="106" t="n">
        <x:v>5</x:v>
      </x:c>
      <x:c r="J48" s="106" t="n">
        <x:v>5</x:v>
      </x:c>
      <x:c r="K48" s="106" t="n">
        <x:v>5</x:v>
      </x:c>
      <x:c r="L48" s="106" t="n">
        <x:v>5</x:v>
      </x:c>
      <x:c r="M48" s="106" t="n">
        <x:v>5</x:v>
      </x:c>
      <x:c r="N48" s="106" t="n">
        <x:v>5</x:v>
      </x:c>
      <x:c r="O48" s="106" t="n">
        <x:v>5</x:v>
      </x:c>
      <x:c r="P48" s="106" t="n">
        <x:v>5</x:v>
      </x:c>
      <x:c r="Q48" s="106" t="n">
        <x:v>5</x:v>
      </x:c>
      <x:c r="R48" s="106" t="n">
        <x:v>5</x:v>
      </x:c>
      <x:c r="S48" s="106" t="n">
        <x:v>5</x:v>
      </x:c>
      <x:c r="T48" s="106" t="n">
        <x:v>5</x:v>
      </x:c>
      <x:c r="U48" s="106" t="n">
        <x:v>3.5</x:v>
      </x:c>
      <x:c r="V48" s="106" t="n">
        <x:v>1.5</x:v>
      </x:c>
      <x:c r="W48" s="106" t="n">
        <x:v>0</x:v>
      </x:c>
      <x:c r="X48" s="106" t="n">
        <x:v>0</x:v>
      </x:c>
      <x:c r="Y48" s="106" t="n">
        <x:v>0</x:v>
      </x:c>
      <x:c r="Z48" s="106" t="n">
        <x:v>0</x:v>
      </x:c>
      <x:c r="AA48" t="n">
        <x:v>0</x:v>
      </x:c>
    </x:row>
    <x:row r="49">
      <x:c r="A49" s="78"/>
      <x:c r="B49" s="103" t="str">
        <x:v>Release</x:v>
      </x:c>
      <x:c r="C49" s="104"/>
      <x:c r="D49" s="104"/>
      <x:c r="E49" s="104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  <x:c r="V49" s="105"/>
      <x:c r="W49" s="105"/>
      <x:c r="X49" s="105"/>
      <x:c r="Y49" s="105"/>
      <x:c r="Z49" s="105"/>
      <x:c r="AA49"/>
    </x:row>
    <x:row r="50">
      <x:c r="A50" s="78"/>
      <x:c r="B50" s="78" t="str">
        <x:v>Release</x:v>
      </x:c>
      <x:c r="C50" s="78" t="str">
        <x:v>Bug fixing &amp; Sprint 1 release</x:v>
      </x:c>
      <x:c r="D50" s="78" t="str">
        <x:v>Luc</x:v>
      </x:c>
      <x:c r="E50" s="78" t="n">
        <x:v>8</x:v>
      </x:c>
      <x:c r="F50" s="106" t="n">
        <x:v>8</x:v>
      </x:c>
      <x:c r="G50" s="106" t="n">
        <x:v>8</x:v>
      </x:c>
      <x:c r="H50" s="106" t="n">
        <x:v>8</x:v>
      </x:c>
      <x:c r="I50" s="106" t="n">
        <x:v>8</x:v>
      </x:c>
      <x:c r="J50" s="106" t="n">
        <x:v>8</x:v>
      </x:c>
      <x:c r="K50" s="106" t="n">
        <x:v>8</x:v>
      </x:c>
      <x:c r="L50" s="106" t="n">
        <x:v>8</x:v>
      </x:c>
      <x:c r="M50" s="106" t="n">
        <x:v>8</x:v>
      </x:c>
      <x:c r="N50" s="106" t="n">
        <x:v>8</x:v>
      </x:c>
      <x:c r="O50" s="106" t="n">
        <x:v>8</x:v>
      </x:c>
      <x:c r="P50" s="106" t="n">
        <x:v>8</x:v>
      </x:c>
      <x:c r="Q50" s="106" t="n">
        <x:v>8</x:v>
      </x:c>
      <x:c r="R50" s="106" t="n">
        <x:v>8</x:v>
      </x:c>
      <x:c r="S50" s="106" t="n">
        <x:v>8</x:v>
      </x:c>
      <x:c r="T50" s="106" t="n">
        <x:v>8</x:v>
      </x:c>
      <x:c r="U50" s="106" t="n">
        <x:v>8</x:v>
      </x:c>
      <x:c r="V50" s="106" t="n">
        <x:v>8</x:v>
      </x:c>
      <x:c r="W50" s="106" t="n">
        <x:v>6</x:v>
      </x:c>
      <x:c r="X50" s="106" t="n">
        <x:v>4</x:v>
      </x:c>
      <x:c r="Y50" s="106" t="n">
        <x:v>2</x:v>
      </x:c>
      <x:c r="Z50" s="106" t="n">
        <x:v>0</x:v>
      </x:c>
      <x:c r="AA50" t="n">
        <x:v>0</x:v>
      </x:c>
    </x:row>
    <x:row r="51">
      <x:c r="A51" s="78"/>
      <x:c r="B51" s="78"/>
      <x:c r="C51" s="78"/>
      <x:c r="D51" s="107" t="str">
        <x:v>TOTAL</x:v>
      </x:c>
      <x:c r="E51" s="107" t="n">
        <x:f>SUM(E16:E50)</x:f>
        <x:v>155</x:v>
      </x:c>
      <x:c r="F51" s="108" t="n">
        <x:f>SUM(F16:F50)</x:f>
        <x:v>150</x:v>
      </x:c>
      <x:c r="G51" s="108" t="n">
        <x:f>SUM(G16:G50)</x:f>
        <x:v>140.5</x:v>
      </x:c>
      <x:c r="H51" s="108" t="n">
        <x:f>SUM(H16:H50)</x:f>
        <x:v>128.5</x:v>
      </x:c>
      <x:c r="I51" s="108" t="n">
        <x:f>SUM(I16:I50)</x:f>
        <x:v>120</x:v>
      </x:c>
      <x:c r="J51" s="108" t="n">
        <x:f>SUM(J16:J50)</x:f>
        <x:v>110</x:v>
      </x:c>
      <x:c r="K51" s="108" t="n">
        <x:f>SUM(K16:K50)</x:f>
        <x:v>99</x:v>
      </x:c>
      <x:c r="L51" s="108" t="n">
        <x:f>SUM(L16:L50)</x:f>
        <x:v>92</x:v>
      </x:c>
      <x:c r="M51" s="108" t="n">
        <x:f>SUM(M16:M50)</x:f>
        <x:v>85</x:v>
      </x:c>
      <x:c r="N51" s="108" t="n">
        <x:f>SUM(N16:N50)</x:f>
        <x:v>73.5</x:v>
      </x:c>
      <x:c r="O51" s="108" t="n">
        <x:f>SUM(O16:O50)</x:f>
        <x:v>64.5</x:v>
      </x:c>
      <x:c r="P51" s="108" t="n">
        <x:f>SUM(P16:P50)</x:f>
        <x:v>55</x:v>
      </x:c>
      <x:c r="Q51" s="108" t="n">
        <x:f>SUM(Q16:Q50)</x:f>
        <x:v>45.5</x:v>
      </x:c>
      <x:c r="R51" s="108" t="n">
        <x:f>SUM(R16:R50)</x:f>
        <x:v>38</x:v>
      </x:c>
      <x:c r="S51" s="108" t="n">
        <x:f>SUM(S16:S50)</x:f>
        <x:v>30.5</x:v>
      </x:c>
      <x:c r="T51" s="108" t="n">
        <x:f>SUM(T16:T50)</x:f>
        <x:v>25</x:v>
      </x:c>
      <x:c r="U51" s="108" t="n">
        <x:f>SUM(U16:U50)</x:f>
        <x:v>18.5</x:v>
      </x:c>
      <x:c r="V51" s="108" t="n">
        <x:f>SUM(V16:V50)</x:f>
        <x:v>11</x:v>
      </x:c>
      <x:c r="W51" s="108" t="n">
        <x:f>SUM(W16:W50)</x:f>
        <x:v>6</x:v>
      </x:c>
      <x:c r="X51" s="108" t="n">
        <x:f>SUM(X16:X50)</x:f>
        <x:v>4</x:v>
      </x:c>
      <x:c r="Y51" s="108" t="n">
        <x:f>SUM(Y16:Y50)</x:f>
        <x:v>2</x:v>
      </x:c>
      <x:c r="Z51" s="108" t="n">
        <x:f>SUM(Z16:Z50)</x:f>
        <x:v>0</x:v>
      </x:c>
      <x:c r="AA51" t="n">
        <x:f>SUM(AA16:AA50)</x:f>
        <x:v>0</x:v>
      </x:c>
    </x:row>
  </x:sheetData>
  <x:mergeCells>
    <x:mergeCell ref="B16:C16"/>
    <x:mergeCell ref="B19:C19"/>
    <x:mergeCell ref="B24:C24"/>
    <x:mergeCell ref="B29:C29"/>
    <x:mergeCell ref="B31:C31"/>
    <x:mergeCell ref="B36:C36"/>
    <x:mergeCell ref="B39:C39"/>
    <x:mergeCell ref="B42:C42"/>
    <x:mergeCell ref="B44:C44"/>
    <x:mergeCell ref="B49:C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20" hidden="0" customWidth="1"/>
    <x:col min="5" max="5" width="10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</x:cols>
  <x:sheetData>
    <x:row r="1">
      <x:c r="A1" s="94" t="str">
        <x:v>Project Name:</x:v>
      </x:c>
      <x:c r="B1" s="45"/>
      <x:c r="C1" s="94" t="str">
        <x:v>Smart Scheduling - Website for Automated Staff Scheduling and Shift</x:v>
      </x:c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/>
    </x:row>
    <x:row r="2">
      <x:c r="A2" s="94" t="str">
        <x:v>Module Name:</x:v>
      </x:c>
      <x:c r="B2" s="45"/>
      <x:c r="C2" s="94" t="str">
        <x:v>Sprint 1 - Core Platform Foundation</x:v>
      </x:c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/>
    </x:row>
    <x:row r="3">
      <x:c r="A3" s="94" t="str">
        <x:v>Development Team:</x:v>
      </x:c>
      <x:c r="B3" s="45"/>
      <x:c r="C3" s="94" t="str">
        <x:v>C1SE.57</x:v>
      </x:c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/>
    </x:row>
    <x:row r="4">
      <x:c r="A4" s="94" t="str">
        <x:v>Start Date:</x:v>
      </x:c>
      <x:c r="B4" s="45"/>
      <x:c r="C4" s="95" t="n">
        <x:v>46266</x:v>
      </x:c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/>
    </x:row>
    <x:row r="5">
      <x:c r="A5" s="94" t="str">
        <x:v>End Date:</x:v>
      </x:c>
      <x:c r="B5" s="45"/>
      <x:c r="C5" s="95" t="n">
        <x:v>46287</x:v>
      </x:c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/>
    </x:row>
    <x:row r="7">
      <x:c r="A7" s="45"/>
      <x:c r="B7" s="45"/>
      <x:c r="C7" s="45"/>
      <x:c r="D7" s="45"/>
      <x:c r="E7" s="45"/>
      <x:c r="F7" s="45"/>
      <x:c r="G7" s="45"/>
      <x:c r="H7" s="96" t="str">
        <x:v>On Time</x:v>
      </x:c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/>
    </x:row>
    <x:row r="8">
      <x:c r="A8" s="97" t="str">
        <x:v>No.</x:v>
      </x:c>
      <x:c r="B8" s="97" t="str">
        <x:v>Member Name</x:v>
      </x:c>
      <x:c r="C8" s="97" t="str">
        <x:v>Full Name</x:v>
      </x:c>
      <x:c r="D8" s="97" t="str">
        <x:v>Estimate</x:v>
      </x:c>
      <x:c r="E8" s="97" t="str">
        <x:v>Actual</x:v>
      </x:c>
      <x:c r="F8" s="45"/>
      <x:c r="G8" s="45"/>
      <x:c r="H8" s="98" t="str">
        <x:v>Lately</x:v>
      </x:c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/>
    </x:row>
    <x:row r="9">
      <x:c r="A9" s="78" t="n">
        <x:v>1</x:v>
      </x:c>
      <x:c r="B9" s="78" t="str">
        <x:v>Tuan</x:v>
      </x:c>
      <x:c r="C9" s="78" t="str">
        <x:v>Lê Hà Đức Tuấn</x:v>
      </x:c>
      <x:c r="D9" s="78" t="n">
        <x:f>SUMIF(Estimate!$D$16:$D$50,B9,Estimate!$E$16:$E$50)</x:f>
        <x:v>35</x:v>
      </x:c>
      <x:c r="E9" s="78" t="n">
        <x:f>SUMIF($D$16:$D$50,B9,$E$16:$E$50)</x:f>
        <x:v>0</x:v>
      </x:c>
      <x:c r="F9" s="45"/>
      <x:c r="G9" s="45"/>
      <x:c r="H9" s="99" t="str">
        <x:v>Early</x:v>
      </x:c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/>
    </x:row>
    <x:row r="10">
      <x:c r="A10" s="78" t="n">
        <x:v>2</x:v>
      </x:c>
      <x:c r="B10" s="78" t="str">
        <x:v>Hien</x:v>
      </x:c>
      <x:c r="C10" s="78" t="str">
        <x:v>Lê Trần Thanh Hiền</x:v>
      </x:c>
      <x:c r="D10" s="78" t="n">
        <x:f>SUMIF(Estimate!$D$16:$D$50,B10,Estimate!$E$16:$E$50)</x:f>
        <x:v>34</x:v>
      </x:c>
      <x:c r="E10" s="78" t="n">
        <x:f>SUMIF($D$16:$D$50,B10,$E$16:$E$50)</x:f>
        <x:v>0</x:v>
      </x:c>
      <x:c r="F10" s="45"/>
      <x:c r="G10" s="45"/>
      <x:c r="H10" s="100" t="str">
        <x:v>Unfinished</x:v>
      </x:c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/>
    </x:row>
    <x:row r="11">
      <x:c r="A11" s="78" t="n">
        <x:v>3</x:v>
      </x:c>
      <x:c r="B11" s="78" t="str">
        <x:v>Nghia</x:v>
      </x:c>
      <x:c r="C11" s="78" t="str">
        <x:v>Lê Đình Nghĩa</x:v>
      </x:c>
      <x:c r="D11" s="78" t="n">
        <x:f>SUMIF(Estimate!$D$16:$D$50,B11,Estimate!$E$16:$E$50)</x:f>
        <x:v>32</x:v>
      </x:c>
      <x:c r="E11" s="78" t="n">
        <x:f>SUMIF($D$16:$D$50,B11,$E$16:$E$50)</x:f>
        <x:v>0</x:v>
      </x:c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/>
    </x:row>
    <x:row r="12">
      <x:c r="A12" s="78" t="n">
        <x:v>4</x:v>
      </x:c>
      <x:c r="B12" s="78" t="str">
        <x:v>Quan</x:v>
      </x:c>
      <x:c r="C12" s="78" t="str">
        <x:v>Huỳnh Văn Minh Quân</x:v>
      </x:c>
      <x:c r="D12" s="78" t="n">
        <x:f>SUMIF(Estimate!$D$16:$D$50,B12,Estimate!$E$16:$E$50)</x:f>
        <x:v>33</x:v>
      </x:c>
      <x:c r="E12" s="78" t="n">
        <x:f>SUMIF($D$16:$D$50,B12,$E$16:$E$50)</x:f>
        <x:v>0</x:v>
      </x:c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/>
    </x:row>
    <x:row r="13">
      <x:c r="A13" s="78" t="n">
        <x:v>5</x:v>
      </x:c>
      <x:c r="B13" s="78" t="str">
        <x:v>Luc</x:v>
      </x:c>
      <x:c r="C13" s="78" t="str">
        <x:v>Huỳnh Vũ Lực</x:v>
      </x:c>
      <x:c r="D13" s="78" t="n">
        <x:f>SUMIF(Estimate!$D$16:$D$50,B13,Estimate!$E$16:$E$50)</x:f>
        <x:v>21</x:v>
      </x:c>
      <x:c r="E13" s="78" t="n">
        <x:f>SUMIF($D$16:$D$50,B13,$E$16:$E$50)</x:f>
        <x:v>0</x:v>
      </x:c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/>
    </x:row>
    <x:row r="14">
      <x:c r="A14" s="78" t="str">
        <x:v>Total</x:v>
      </x:c>
      <x:c r="B14" s="78"/>
      <x:c r="C14" s="78"/>
      <x:c r="D14" s="78" t="n">
        <x:f>SUM(D9:D13)</x:f>
        <x:v>155</x:v>
      </x:c>
      <x:c r="E14" s="78" t="n">
        <x:f>SUM(E9:E13)</x:f>
        <x:v>0</x:v>
      </x:c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/>
    </x:row>
    <x:row r="15">
      <x:c r="A15" s="101" t="str">
        <x:v>SPRINT 1 REPORT</x:v>
      </x:c>
      <x:c r="B15" s="101" t="str">
        <x:v>Component</x:v>
      </x:c>
      <x:c r="C15" s="101" t="str">
        <x:v>Task Name</x:v>
      </x:c>
      <x:c r="D15" s="101" t="str">
        <x:v>Responsible Member</x:v>
      </x:c>
      <x:c r="E15" s="101" t="str">
        <x:v>Actual</x:v>
      </x:c>
      <x:c r="F15" s="102" t="n">
        <x:v>46266</x:v>
      </x:c>
      <x:c r="G15" s="102" t="n">
        <x:v>46267</x:v>
      </x:c>
      <x:c r="H15" s="102" t="n">
        <x:v>46268</x:v>
      </x:c>
      <x:c r="I15" s="102" t="n">
        <x:v>46269</x:v>
      </x:c>
      <x:c r="J15" s="102" t="n">
        <x:v>46270</x:v>
      </x:c>
      <x:c r="K15" s="102" t="n">
        <x:v>46271</x:v>
      </x:c>
      <x:c r="L15" s="102" t="n">
        <x:v>46272</x:v>
      </x:c>
      <x:c r="M15" s="102" t="n">
        <x:v>46273</x:v>
      </x:c>
      <x:c r="N15" s="102" t="n">
        <x:v>46274</x:v>
      </x:c>
      <x:c r="O15" s="102" t="n">
        <x:v>46275</x:v>
      </x:c>
      <x:c r="P15" s="102" t="n">
        <x:v>46276</x:v>
      </x:c>
      <x:c r="Q15" s="102" t="n">
        <x:v>46277</x:v>
      </x:c>
      <x:c r="R15" s="102" t="n">
        <x:v>46278</x:v>
      </x:c>
      <x:c r="S15" s="102" t="n">
        <x:v>46279</x:v>
      </x:c>
      <x:c r="T15" s="102" t="n">
        <x:v>46280</x:v>
      </x:c>
      <x:c r="U15" s="102" t="n">
        <x:v>46281</x:v>
      </x:c>
      <x:c r="V15" s="102" t="n">
        <x:v>46282</x:v>
      </x:c>
      <x:c r="W15" s="102" t="n">
        <x:v>46283</x:v>
      </x:c>
      <x:c r="X15" s="102" t="n">
        <x:v>46284</x:v>
      </x:c>
      <x:c r="Y15" s="102" t="n">
        <x:v>46285</x:v>
      </x:c>
      <x:c r="Z15" s="102" t="n">
        <x:v>46286</x:v>
      </x:c>
      <x:c r="AA15" s="28" t="n">
        <x:v>46287</x:v>
      </x:c>
    </x:row>
    <x:row r="16">
      <x:c r="A16" s="78"/>
      <x:c r="B16" s="103" t="str">
        <x:v>Planning</x:v>
      </x:c>
      <x:c r="C16" s="104"/>
      <x:c r="D16" s="104"/>
      <x:c r="E16" s="104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  <x:c r="V16" s="105"/>
      <x:c r="W16" s="105"/>
      <x:c r="X16" s="105"/>
      <x:c r="Y16" s="105"/>
      <x:c r="Z16" s="105"/>
      <x:c r="AA16"/>
    </x:row>
    <x:row r="17">
      <x:c r="A17" s="78"/>
      <x:c r="B17" s="78" t="str">
        <x:v>Planning</x:v>
      </x:c>
      <x:c r="C17" s="78" t="str">
        <x:v>Sprint Planning Meeting</x:v>
      </x:c>
      <x:c r="D17" s="78" t="str">
        <x:v>Tuan</x:v>
      </x:c>
      <x:c r="E17" s="78"/>
      <x:c r="F17" s="106" t="n">
        <x:v>3</x:v>
      </x:c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  <x:c r="AA17"/>
    </x:row>
    <x:row r="18">
      <x:c r="A18" s="78"/>
      <x:c r="B18" s="78" t="str">
        <x:v>Planning</x:v>
      </x:c>
      <x:c r="C18" s="78" t="str">
        <x:v>Create Sprint Backlog &amp; Test Plan</x:v>
      </x:c>
      <x:c r="D18" s="78" t="str">
        <x:v>Tuan</x:v>
      </x:c>
      <x:c r="E18" s="78"/>
      <x:c r="F18" s="106" t="n">
        <x:v>4</x:v>
      </x:c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  <x:c r="AA18"/>
    </x:row>
    <x:row r="19">
      <x:c r="A19" s="78"/>
      <x:c r="B19" s="103" t="str">
        <x:v>Environment</x:v>
      </x:c>
      <x:c r="C19" s="104"/>
      <x:c r="D19" s="104"/>
      <x:c r="E19" s="104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  <x:c r="V19" s="105"/>
      <x:c r="W19" s="105"/>
      <x:c r="X19" s="105"/>
      <x:c r="Y19" s="105"/>
      <x:c r="Z19" s="105"/>
      <x:c r="AA19"/>
    </x:row>
    <x:row r="20">
      <x:c r="A20" s="78"/>
      <x:c r="B20" s="78" t="str">
        <x:v>Environment</x:v>
      </x:c>
      <x:c r="C20" s="78" t="str">
        <x:v>Configure React Web project</x:v>
      </x:c>
      <x:c r="D20" s="78" t="str">
        <x:v>Hien</x:v>
      </x:c>
      <x:c r="E20" s="78"/>
      <x:c r="F20" s="106" t="n">
        <x:v>4</x:v>
      </x:c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  <x:c r="AA20"/>
    </x:row>
    <x:row r="21">
      <x:c r="A21" s="78"/>
      <x:c r="B21" s="78" t="str">
        <x:v>Environment</x:v>
      </x:c>
      <x:c r="C21" s="78" t="str">
        <x:v>Configure Laravel Core API</x:v>
      </x:c>
      <x:c r="D21" s="78" t="str">
        <x:v>Tuan</x:v>
      </x:c>
      <x:c r="E21" s="78"/>
      <x:c r="F21" s="106" t="n">
        <x:v>4</x:v>
      </x:c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  <x:c r="AA21"/>
    </x:row>
    <x:row r="22">
      <x:c r="A22" s="78"/>
      <x:c r="B22" s="78" t="str">
        <x:v>Environment</x:v>
      </x:c>
      <x:c r="C22" s="78" t="str">
        <x:v>Configure React Native (JavaScript/JSX) project</x:v>
      </x:c>
      <x:c r="D22" s="78" t="str">
        <x:v>Quan</x:v>
      </x:c>
      <x:c r="E22" s="78"/>
      <x:c r="F22" s="106" t="n">
        <x:v>4</x:v>
      </x:c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  <x:c r="AA22"/>
    </x:row>
    <x:row r="23">
      <x:c r="A23" s="78"/>
      <x:c r="B23" s="78" t="str">
        <x:v>Environment</x:v>
      </x:c>
      <x:c r="C23" s="78" t="str">
        <x:v>Configure Microsoft SQL Server / Redis / Docker</x:v>
      </x:c>
      <x:c r="D23" s="78" t="str">
        <x:v>Luc</x:v>
      </x:c>
      <x:c r="E23" s="78"/>
      <x:c r="F23" s="106" t="n">
        <x:v>5</x:v>
      </x:c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  <x:c r="AA23"/>
    </x:row>
    <x:row r="24">
      <x:c r="A24" s="78"/>
      <x:c r="B24" s="103" t="str">
        <x:v>Design</x:v>
      </x:c>
      <x:c r="C24" s="104"/>
      <x:c r="D24" s="104"/>
      <x:c r="E24" s="104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  <x:c r="V24" s="105"/>
      <x:c r="W24" s="105"/>
      <x:c r="X24" s="105"/>
      <x:c r="Y24" s="105"/>
      <x:c r="Z24" s="105"/>
      <x:c r="AA24"/>
    </x:row>
    <x:row r="25">
      <x:c r="A25" s="78"/>
      <x:c r="B25" s="78" t="str">
        <x:v>Design</x:v>
      </x:c>
      <x:c r="C25" s="78" t="str">
        <x:v>Design Login &amp; RBAC UI</x:v>
      </x:c>
      <x:c r="D25" s="78" t="str">
        <x:v>Hien</x:v>
      </x:c>
      <x:c r="E25" s="78"/>
      <x:c r="F25" s="106" t="n">
        <x:v>4</x:v>
      </x:c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  <x:c r="AA25"/>
    </x:row>
    <x:row r="26">
      <x:c r="A26" s="78"/>
      <x:c r="B26" s="78" t="str">
        <x:v>Design</x:v>
      </x:c>
      <x:c r="C26" s="78" t="str">
        <x:v>Design Employee / Skill Management UI</x:v>
      </x:c>
      <x:c r="D26" s="78" t="str">
        <x:v>Hien</x:v>
      </x:c>
      <x:c r="E26" s="78"/>
      <x:c r="F26" s="106" t="n">
        <x:v>5</x:v>
      </x:c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  <x:c r="AA26"/>
    </x:row>
    <x:row r="27">
      <x:c r="A27" s="78"/>
      <x:c r="B27" s="78" t="str">
        <x:v>Design</x:v>
      </x:c>
      <x:c r="C27" s="78" t="str">
        <x:v>Design Staff Availability UI</x:v>
      </x:c>
      <x:c r="D27" s="78" t="str">
        <x:v>Quan</x:v>
      </x:c>
      <x:c r="E27" s="78"/>
      <x:c r="F27" s="106" t="n">
        <x:v>5</x:v>
      </x:c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  <x:c r="AA27"/>
    </x:row>
    <x:row r="28">
      <x:c r="A28" s="78"/>
      <x:c r="B28" s="78" t="str">
        <x:v>Design</x:v>
      </x:c>
      <x:c r="C28" s="78" t="str">
        <x:v>Design Shift Requirement UI</x:v>
      </x:c>
      <x:c r="D28" s="78" t="str">
        <x:v>Quan</x:v>
      </x:c>
      <x:c r="E28" s="78"/>
      <x:c r="F28" s="106" t="n">
        <x:v>4</x:v>
      </x:c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  <x:c r="AA28"/>
    </x:row>
    <x:row r="29">
      <x:c r="A29" s="78"/>
      <x:c r="B29" s="103" t="str">
        <x:v>Database</x:v>
      </x:c>
      <x:c r="C29" s="104"/>
      <x:c r="D29" s="104"/>
      <x:c r="E29" s="104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  <x:c r="V29" s="105"/>
      <x:c r="W29" s="105"/>
      <x:c r="X29" s="105"/>
      <x:c r="Y29" s="105"/>
      <x:c r="Z29" s="105"/>
      <x:c r="AA29"/>
    </x:row>
    <x:row r="30">
      <x:c r="A30" s="78"/>
      <x:c r="B30" s="78" t="str">
        <x:v>Database</x:v>
      </x:c>
      <x:c r="C30" s="78" t="str">
        <x:v>Design core database schema</x:v>
      </x:c>
      <x:c r="D30" s="78" t="str">
        <x:v>Nghia</x:v>
      </x:c>
      <x:c r="E30" s="78"/>
      <x:c r="F30" s="106" t="n">
        <x:v>8</x:v>
      </x:c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  <x:c r="AA30"/>
    </x:row>
    <x:row r="31">
      <x:c r="A31" s="78"/>
      <x:c r="B31" s="103" t="str">
        <x:v>Backend</x:v>
      </x:c>
      <x:c r="C31" s="104"/>
      <x:c r="D31" s="104"/>
      <x:c r="E31" s="104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  <x:c r="V31" s="105"/>
      <x:c r="W31" s="105"/>
      <x:c r="X31" s="105"/>
      <x:c r="Y31" s="105"/>
      <x:c r="Z31" s="105"/>
      <x:c r="AA31"/>
    </x:row>
    <x:row r="32">
      <x:c r="A32" s="78"/>
      <x:c r="B32" s="78" t="str">
        <x:v>Backend</x:v>
      </x:c>
      <x:c r="C32" s="78" t="str">
        <x:v>Implement JWT authentication &amp; RBAC</x:v>
      </x:c>
      <x:c r="D32" s="78" t="str">
        <x:v>Tuan</x:v>
      </x:c>
      <x:c r="E32" s="78"/>
      <x:c r="F32" s="106" t="n">
        <x:v>10</x:v>
      </x:c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  <x:c r="AA32"/>
    </x:row>
    <x:row r="33">
      <x:c r="A33" s="78"/>
      <x:c r="B33" s="78" t="str">
        <x:v>Backend</x:v>
      </x:c>
      <x:c r="C33" s="78" t="str">
        <x:v>Implement Employee / Contract / Skill APIs</x:v>
      </x:c>
      <x:c r="D33" s="78" t="str">
        <x:v>Nghia</x:v>
      </x:c>
      <x:c r="E33" s="78"/>
      <x:c r="F33" s="106" t="n">
        <x:v>10</x:v>
      </x:c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  <x:c r="AA33"/>
    </x:row>
    <x:row r="34">
      <x:c r="A34" s="78"/>
      <x:c r="B34" s="78" t="str">
        <x:v>Backend</x:v>
      </x:c>
      <x:c r="C34" s="78" t="str">
        <x:v>Implement Availability APIs</x:v>
      </x:c>
      <x:c r="D34" s="78" t="str">
        <x:v>Tuan</x:v>
      </x:c>
      <x:c r="E34" s="78"/>
      <x:c r="F34" s="106" t="n">
        <x:v>8</x:v>
      </x:c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  <x:c r="AA34"/>
    </x:row>
    <x:row r="35">
      <x:c r="A35" s="78"/>
      <x:c r="B35" s="78" t="str">
        <x:v>Backend</x:v>
      </x:c>
      <x:c r="C35" s="78" t="str">
        <x:v>Implement Shift &amp; Staffing Requirement APIs</x:v>
      </x:c>
      <x:c r="D35" s="78" t="str">
        <x:v>Nghia</x:v>
      </x:c>
      <x:c r="E35" s="78"/>
      <x:c r="F35" s="106" t="n">
        <x:v>8</x:v>
      </x:c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  <x:c r="AA35"/>
    </x:row>
    <x:row r="36">
      <x:c r="A36" s="78"/>
      <x:c r="B36" s="103" t="str">
        <x:v>Web</x:v>
      </x:c>
      <x:c r="C36" s="104"/>
      <x:c r="D36" s="104"/>
      <x:c r="E36" s="104"/>
      <x:c r="F36" s="105"/>
      <x:c r="G36" s="105"/>
      <x:c r="H36" s="105"/>
      <x:c r="I36" s="105"/>
      <x:c r="J36" s="105"/>
      <x:c r="K36" s="105"/>
      <x:c r="L36" s="105"/>
      <x:c r="M36" s="105"/>
      <x:c r="N36" s="105"/>
      <x:c r="O36" s="105"/>
      <x:c r="P36" s="105"/>
      <x:c r="Q36" s="105"/>
      <x:c r="R36" s="105"/>
      <x:c r="S36" s="105"/>
      <x:c r="T36" s="105"/>
      <x:c r="U36" s="105"/>
      <x:c r="V36" s="105"/>
      <x:c r="W36" s="105"/>
      <x:c r="X36" s="105"/>
      <x:c r="Y36" s="105"/>
      <x:c r="Z36" s="105"/>
      <x:c r="AA36"/>
    </x:row>
    <x:row r="37">
      <x:c r="A37" s="78"/>
      <x:c r="B37" s="78" t="str">
        <x:v>Web</x:v>
      </x:c>
      <x:c r="C37" s="78" t="str">
        <x:v>Implement Login / Account screens</x:v>
      </x:c>
      <x:c r="D37" s="78" t="str">
        <x:v>Hien</x:v>
      </x:c>
      <x:c r="E37" s="78"/>
      <x:c r="F37" s="106" t="n">
        <x:v>7</x:v>
      </x:c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  <x:c r="AA37"/>
    </x:row>
    <x:row r="38">
      <x:c r="A38" s="78"/>
      <x:c r="B38" s="78" t="str">
        <x:v>Web</x:v>
      </x:c>
      <x:c r="C38" s="78" t="str">
        <x:v>Implement Employee / Skill screens</x:v>
      </x:c>
      <x:c r="D38" s="78" t="str">
        <x:v>Hien</x:v>
      </x:c>
      <x:c r="E38" s="78"/>
      <x:c r="F38" s="106" t="n">
        <x:v>9</x:v>
      </x:c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  <x:c r="AA38"/>
    </x:row>
    <x:row r="39">
      <x:c r="A39" s="78"/>
      <x:c r="B39" s="103" t="str">
        <x:v>React Native</x:v>
      </x:c>
      <x:c r="C39" s="104"/>
      <x:c r="D39" s="104"/>
      <x:c r="E39" s="104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  <x:c r="V39" s="105"/>
      <x:c r="W39" s="105"/>
      <x:c r="X39" s="105"/>
      <x:c r="Y39" s="105"/>
      <x:c r="Z39" s="105"/>
      <x:c r="AA39"/>
    </x:row>
    <x:row r="40">
      <x:c r="A40" s="78"/>
      <x:c r="B40" s="78" t="str">
        <x:v>React Native</x:v>
      </x:c>
      <x:c r="C40" s="78" t="str">
        <x:v>Implement Staff Login / Profile (React Native)</x:v>
      </x:c>
      <x:c r="D40" s="78" t="str">
        <x:v>Quan</x:v>
      </x:c>
      <x:c r="E40" s="78"/>
      <x:c r="F40" s="106" t="n">
        <x:v>6</x:v>
      </x:c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  <x:c r="AA40"/>
    </x:row>
    <x:row r="41">
      <x:c r="A41" s="78"/>
      <x:c r="B41" s="78" t="str">
        <x:v>React Native</x:v>
      </x:c>
      <x:c r="C41" s="78" t="str">
        <x:v>Implement Weekly Availability registration (React Native)</x:v>
      </x:c>
      <x:c r="D41" s="78" t="str">
        <x:v>Quan</x:v>
      </x:c>
      <x:c r="E41" s="78"/>
      <x:c r="F41" s="106" t="n">
        <x:v>9</x:v>
      </x:c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  <x:c r="AA41"/>
    </x:row>
    <x:row r="42">
      <x:c r="A42" s="78"/>
      <x:c r="B42" s="103" t="str">
        <x:v>Integration</x:v>
      </x:c>
      <x:c r="C42" s="104"/>
      <x:c r="D42" s="104"/>
      <x:c r="E42" s="104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  <x:c r="V42" s="105"/>
      <x:c r="W42" s="105"/>
      <x:c r="X42" s="105"/>
      <x:c r="Y42" s="105"/>
      <x:c r="Z42" s="105"/>
      <x:c r="AA42"/>
    </x:row>
    <x:row r="43">
      <x:c r="A43" s="78"/>
      <x:c r="B43" s="78" t="str">
        <x:v>Integration</x:v>
      </x:c>
      <x:c r="C43" s="78" t="str">
        <x:v>Connect React Web / React Native to Laravel APIs</x:v>
      </x:c>
      <x:c r="D43" s="78" t="str">
        <x:v>Luc</x:v>
      </x:c>
      <x:c r="E43" s="78"/>
      <x:c r="F43" s="106" t="n">
        <x:v>8</x:v>
      </x:c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  <x:c r="AA43"/>
    </x:row>
    <x:row r="44">
      <x:c r="A44" s="78"/>
      <x:c r="B44" s="103" t="str">
        <x:v>Testing</x:v>
      </x:c>
      <x:c r="C44" s="104"/>
      <x:c r="D44" s="104"/>
      <x:c r="E44" s="104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  <x:c r="V44" s="105"/>
      <x:c r="W44" s="105"/>
      <x:c r="X44" s="105"/>
      <x:c r="Y44" s="105"/>
      <x:c r="Z44" s="105"/>
      <x:c r="AA44"/>
    </x:row>
    <x:row r="45">
      <x:c r="A45" s="78"/>
      <x:c r="B45" s="78" t="str">
        <x:v>Testing</x:v>
      </x:c>
      <x:c r="C45" s="78" t="str">
        <x:v>Unit tests for Auth / RBAC / Employee</x:v>
      </x:c>
      <x:c r="D45" s="78" t="str">
        <x:v>Tuan</x:v>
      </x:c>
      <x:c r="E45" s="78"/>
      <x:c r="F45" s="106" t="n">
        <x:v>6</x:v>
      </x:c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  <x:c r="AA45"/>
    </x:row>
    <x:row r="46">
      <x:c r="A46" s="78"/>
      <x:c r="B46" s="78" t="str">
        <x:v>Testing</x:v>
      </x:c>
      <x:c r="C46" s="78" t="str">
        <x:v>API tests for Availability / Shift</x:v>
      </x:c>
      <x:c r="D46" s="78" t="str">
        <x:v>Nghia</x:v>
      </x:c>
      <x:c r="E46" s="78"/>
      <x:c r="F46" s="106" t="n">
        <x:v>6</x:v>
      </x:c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  <x:c r="AA46"/>
    </x:row>
    <x:row r="47">
      <x:c r="A47" s="78"/>
      <x:c r="B47" s="78" t="str">
        <x:v>Testing</x:v>
      </x:c>
      <x:c r="C47" s="78" t="str">
        <x:v>UI functional testing</x:v>
      </x:c>
      <x:c r="D47" s="78" t="str">
        <x:v>Hien</x:v>
      </x:c>
      <x:c r="E47" s="78"/>
      <x:c r="F47" s="106" t="n">
        <x:v>5</x:v>
      </x:c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  <x:c r="AA47"/>
    </x:row>
    <x:row r="48">
      <x:c r="A48" s="78"/>
      <x:c r="B48" s="78" t="str">
        <x:v>Testing</x:v>
      </x:c>
      <x:c r="C48" s="78" t="str">
        <x:v>React Native functional testing</x:v>
      </x:c>
      <x:c r="D48" s="78" t="str">
        <x:v>Quan</x:v>
      </x:c>
      <x:c r="E48" s="78"/>
      <x:c r="F48" s="106" t="n">
        <x:v>5</x:v>
      </x:c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  <x:c r="AA48"/>
    </x:row>
    <x:row r="49">
      <x:c r="A49" s="78"/>
      <x:c r="B49" s="103" t="str">
        <x:v>Release</x:v>
      </x:c>
      <x:c r="C49" s="104"/>
      <x:c r="D49" s="104"/>
      <x:c r="E49" s="104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  <x:c r="V49" s="105"/>
      <x:c r="W49" s="105"/>
      <x:c r="X49" s="105"/>
      <x:c r="Y49" s="105"/>
      <x:c r="Z49" s="105"/>
      <x:c r="AA49"/>
    </x:row>
    <x:row r="50">
      <x:c r="A50" s="78"/>
      <x:c r="B50" s="78" t="str">
        <x:v>Release</x:v>
      </x:c>
      <x:c r="C50" s="78" t="str">
        <x:v>Bug fixing &amp; Sprint 1 release</x:v>
      </x:c>
      <x:c r="D50" s="78" t="str">
        <x:v>Luc</x:v>
      </x:c>
      <x:c r="E50" s="78"/>
      <x:c r="F50" s="106" t="n">
        <x:v>8</x:v>
      </x:c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  <x:c r="AA50"/>
    </x:row>
    <x:row r="51">
      <x:c r="A51" s="78"/>
      <x:c r="B51" s="78"/>
      <x:c r="C51" s="78"/>
      <x:c r="D51" s="107" t="str">
        <x:v>TOTAL</x:v>
      </x:c>
      <x:c r="E51" s="107" t="n">
        <x:f>SUM(E16:E50)</x:f>
        <x:v>0</x:v>
      </x:c>
      <x:c r="F51" s="108" t="n">
        <x:f>IF(COUNT(F16:F50)=0,"",SUM(F16:F50))</x:f>
        <x:v>155</x:v>
      </x:c>
      <x:c r="G51" s="108" t="str">
        <x:f>IF(COUNT(G16:G50)=0,"",SUM(G16:G50))</x:f>
      </x:c>
      <x:c r="H51" s="108" t="str">
        <x:f>IF(COUNT(H16:H50)=0,"",SUM(H16:H50))</x:f>
      </x:c>
      <x:c r="I51" s="108" t="str">
        <x:f>IF(COUNT(I16:I50)=0,"",SUM(I16:I50))</x:f>
      </x:c>
      <x:c r="J51" s="108" t="str">
        <x:f>IF(COUNT(J16:J50)=0,"",SUM(J16:J50))</x:f>
      </x:c>
      <x:c r="K51" s="108" t="str">
        <x:f>IF(COUNT(K16:K50)=0,"",SUM(K16:K50))</x:f>
      </x:c>
      <x:c r="L51" s="108" t="str">
        <x:f>IF(COUNT(L16:L50)=0,"",SUM(L16:L50))</x:f>
      </x:c>
      <x:c r="M51" s="108" t="str">
        <x:f>IF(COUNT(M16:M50)=0,"",SUM(M16:M50))</x:f>
      </x:c>
      <x:c r="N51" s="108" t="str">
        <x:f>IF(COUNT(N16:N50)=0,"",SUM(N16:N50))</x:f>
      </x:c>
      <x:c r="O51" s="108" t="str">
        <x:f>IF(COUNT(O16:O50)=0,"",SUM(O16:O50))</x:f>
      </x:c>
      <x:c r="P51" s="108" t="str">
        <x:f>IF(COUNT(P16:P50)=0,"",SUM(P16:P50))</x:f>
      </x:c>
      <x:c r="Q51" s="108" t="str">
        <x:f>IF(COUNT(Q16:Q50)=0,"",SUM(Q16:Q50))</x:f>
      </x:c>
      <x:c r="R51" s="108" t="str">
        <x:f>IF(COUNT(R16:R50)=0,"",SUM(R16:R50))</x:f>
      </x:c>
      <x:c r="S51" s="108" t="str">
        <x:f>IF(COUNT(S16:S50)=0,"",SUM(S16:S50))</x:f>
      </x:c>
      <x:c r="T51" s="108" t="str">
        <x:f>IF(COUNT(T16:T50)=0,"",SUM(T16:T50))</x:f>
      </x:c>
      <x:c r="U51" s="108" t="str">
        <x:f>IF(COUNT(U16:U50)=0,"",SUM(U16:U50))</x:f>
      </x:c>
      <x:c r="V51" s="108" t="str">
        <x:f>IF(COUNT(V16:V50)=0,"",SUM(V16:V50))</x:f>
      </x:c>
      <x:c r="W51" s="108" t="str">
        <x:f>IF(COUNT(W16:W50)=0,"",SUM(W16:W50))</x:f>
      </x:c>
      <x:c r="X51" s="108" t="str">
        <x:f>IF(COUNT(X16:X50)=0,"",SUM(X16:X50))</x:f>
      </x:c>
      <x:c r="Y51" s="108" t="str">
        <x:f>IF(COUNT(Y16:Y50)=0,"",SUM(Y16:Y50))</x:f>
      </x:c>
      <x:c r="Z51" s="108" t="str">
        <x:f>IF(COUNT(Z16:Z50)=0,"",SUM(Z16:Z50))</x:f>
      </x:c>
      <x:c r="AA51" t="str">
        <x:f>IF(COUNT(AA16:AA50)=0,"",SUM(AA16:AA50))</x:f>
      </x:c>
    </x:row>
  </x:sheetData>
  <x:mergeCells>
    <x:mergeCell ref="B16:C16"/>
    <x:mergeCell ref="B19:C19"/>
    <x:mergeCell ref="B24:C24"/>
    <x:mergeCell ref="B29:C29"/>
    <x:mergeCell ref="B31:C31"/>
    <x:mergeCell ref="B36:C36"/>
    <x:mergeCell ref="B39:C39"/>
    <x:mergeCell ref="B42:C42"/>
    <x:mergeCell ref="B44:C44"/>
    <x:mergeCell ref="B49:C4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126" t="str">
        <x:v>Burn down chart Sprint 1</x:v>
      </x:c>
    </x:row>
    <x:row r="3">
      <x:c r="A3" s="128" t="str">
        <x:v>Estimate</x:v>
      </x:c>
      <x:c r="B3" s="128" t="str">
        <x:v>Actual</x:v>
      </x:c>
      <x:c r="C3" s="128" t="str">
        <x:v>Date</x:v>
      </x:c>
    </x:row>
    <x:row r="4">
      <x:c r="A4" s="129" t="n">
        <x:f>Estimate!F51</x:f>
        <x:v>150</x:v>
      </x:c>
      <x:c r="B4" s="129"/>
      <x:c r="C4" s="130" t="n">
        <x:v>46266</x:v>
      </x:c>
    </x:row>
    <x:row r="5">
      <x:c r="A5" s="129" t="n">
        <x:f>Estimate!G51</x:f>
        <x:v>140.5</x:v>
      </x:c>
      <x:c r="B5" s="129"/>
      <x:c r="C5" s="130" t="n">
        <x:v>46267</x:v>
      </x:c>
    </x:row>
    <x:row r="6">
      <x:c r="A6" s="129" t="n">
        <x:f>Estimate!H51</x:f>
        <x:v>128.5</x:v>
      </x:c>
      <x:c r="B6" s="129"/>
      <x:c r="C6" s="130" t="n">
        <x:v>46268</x:v>
      </x:c>
    </x:row>
    <x:row r="7">
      <x:c r="A7" s="129" t="n">
        <x:f>Estimate!I51</x:f>
        <x:v>120</x:v>
      </x:c>
      <x:c r="B7" s="129"/>
      <x:c r="C7" s="130" t="n">
        <x:v>46269</x:v>
      </x:c>
    </x:row>
    <x:row r="8">
      <x:c r="A8" s="129" t="n">
        <x:f>Estimate!J51</x:f>
        <x:v>110</x:v>
      </x:c>
      <x:c r="B8" s="129"/>
      <x:c r="C8" s="130" t="n">
        <x:v>46270</x:v>
      </x:c>
    </x:row>
    <x:row r="9">
      <x:c r="A9" s="129" t="n">
        <x:f>Estimate!K51</x:f>
        <x:v>99</x:v>
      </x:c>
      <x:c r="B9" s="129"/>
      <x:c r="C9" s="130" t="n">
        <x:v>46271</x:v>
      </x:c>
    </x:row>
    <x:row r="10">
      <x:c r="A10" s="129" t="n">
        <x:f>Estimate!L51</x:f>
        <x:v>92</x:v>
      </x:c>
      <x:c r="B10" s="129"/>
      <x:c r="C10" s="130" t="n">
        <x:v>46272</x:v>
      </x:c>
    </x:row>
    <x:row r="11">
      <x:c r="A11" s="129" t="n">
        <x:f>Estimate!M51</x:f>
        <x:v>85</x:v>
      </x:c>
      <x:c r="B11" s="129"/>
      <x:c r="C11" s="130" t="n">
        <x:v>46273</x:v>
      </x:c>
    </x:row>
    <x:row r="12">
      <x:c r="A12" s="129" t="n">
        <x:f>Estimate!N51</x:f>
        <x:v>73.5</x:v>
      </x:c>
      <x:c r="B12" s="129"/>
      <x:c r="C12" s="130" t="n">
        <x:v>46274</x:v>
      </x:c>
    </x:row>
    <x:row r="13">
      <x:c r="A13" s="129" t="n">
        <x:f>Estimate!O51</x:f>
        <x:v>64.5</x:v>
      </x:c>
      <x:c r="B13" s="129"/>
      <x:c r="C13" s="130" t="n">
        <x:v>46275</x:v>
      </x:c>
    </x:row>
    <x:row r="14">
      <x:c r="A14" s="129" t="n">
        <x:f>Estimate!P51</x:f>
        <x:v>55</x:v>
      </x:c>
      <x:c r="B14" s="129"/>
      <x:c r="C14" s="130" t="n">
        <x:v>46276</x:v>
      </x:c>
    </x:row>
    <x:row r="15">
      <x:c r="A15" s="129" t="n">
        <x:f>Estimate!Q51</x:f>
        <x:v>45.5</x:v>
      </x:c>
      <x:c r="B15" s="129"/>
      <x:c r="C15" s="130" t="n">
        <x:v>46277</x:v>
      </x:c>
    </x:row>
    <x:row r="16">
      <x:c r="A16" s="129" t="n">
        <x:f>Estimate!R51</x:f>
        <x:v>38</x:v>
      </x:c>
      <x:c r="B16" s="129"/>
      <x:c r="C16" s="130" t="n">
        <x:v>46278</x:v>
      </x:c>
    </x:row>
    <x:row r="17">
      <x:c r="A17" s="129" t="n">
        <x:f>Estimate!S51</x:f>
        <x:v>30.5</x:v>
      </x:c>
      <x:c r="B17" s="129"/>
      <x:c r="C17" s="130" t="n">
        <x:v>46279</x:v>
      </x:c>
    </x:row>
    <x:row r="18">
      <x:c r="A18" s="129" t="n">
        <x:f>Estimate!T51</x:f>
        <x:v>25</x:v>
      </x:c>
      <x:c r="B18" s="129"/>
      <x:c r="C18" s="130" t="n">
        <x:v>46280</x:v>
      </x:c>
    </x:row>
    <x:row r="19">
      <x:c r="A19" s="129" t="n">
        <x:f>Estimate!U51</x:f>
        <x:v>18.5</x:v>
      </x:c>
      <x:c r="B19" s="129"/>
      <x:c r="C19" s="130" t="n">
        <x:v>46281</x:v>
      </x:c>
    </x:row>
    <x:row r="20">
      <x:c r="A20" s="129" t="n">
        <x:f>Estimate!V51</x:f>
        <x:v>11</x:v>
      </x:c>
      <x:c r="B20" s="129"/>
      <x:c r="C20" s="130" t="n">
        <x:v>46282</x:v>
      </x:c>
    </x:row>
    <x:row r="21">
      <x:c r="A21" s="129" t="n">
        <x:f>Estimate!W51</x:f>
        <x:v>6</x:v>
      </x:c>
      <x:c r="B21" s="129"/>
      <x:c r="C21" s="130" t="n">
        <x:v>46283</x:v>
      </x:c>
    </x:row>
    <x:row r="22">
      <x:c r="A22" s="129" t="n">
        <x:f>Estimate!X51</x:f>
        <x:v>4</x:v>
      </x:c>
      <x:c r="B22" s="129"/>
      <x:c r="C22" s="130" t="n">
        <x:v>46284</x:v>
      </x:c>
    </x:row>
    <x:row r="23">
      <x:c r="A23" s="129" t="n">
        <x:f>Estimate!Y51</x:f>
        <x:v>2</x:v>
      </x:c>
      <x:c r="B23" s="129"/>
      <x:c r="C23" s="130" t="n">
        <x:v>46285</x:v>
      </x:c>
    </x:row>
    <x:row r="24">
      <x:c r="A24" s="129" t="n">
        <x:f>Estimate!Z51</x:f>
        <x:v>0</x:v>
      </x:c>
      <x:c r="B24" s="129"/>
      <x:c r="C24" s="130" t="n">
        <x:v>46286</x:v>
      </x:c>
    </x:row>
    <x:row r="25">
      <x:c r="A25" t="n">
        <x:f>Estimate!AA51</x:f>
        <x:v>0</x:v>
      </x:c>
      <x:c r="B25"/>
      <x:c r="C25" s="28" t="n">
        <x:v>46287</x:v>
      </x:c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b2b7f0ede4774b6a"/>
</x:worksheet>
</file>