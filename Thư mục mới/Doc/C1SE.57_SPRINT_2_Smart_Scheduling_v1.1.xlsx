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dc8ec2d44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6ec8c453bac14eb0"/>
    <x:sheet xmlns:r="http://schemas.openxmlformats.org/officeDocument/2006/relationships" name="Actual" sheetId="2" r:id="R535000155a3d460e"/>
    <x:sheet xmlns:r="http://schemas.openxmlformats.org/officeDocument/2006/relationships" name="Chart" sheetId="3" r:id="Rb646c169514c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27A2B"/>
      </x:patternFill>
    </x:fill>
    <x:fill>
      <x:patternFill patternType="solid">
        <x:fgColor rgb="FF5B9BD5"/>
      </x:patternFill>
    </x:fill>
    <x:fill>
      <x:patternFill patternType="solid">
        <x:fgColor rgb="FFFF0000"/>
      </x:patternFill>
    </x:fill>
    <x:fill>
      <x:patternFill patternType="solid">
        <x:fgColor rgb="FFD9E1F2"/>
      </x:patternFill>
    </x:fill>
    <x:fill>
      <x:patternFill patternType="solid">
        <x:fgColor rgb="FFD9D9D9"/>
      </x:patternFill>
    </x:fill>
    <x:fill>
      <x:patternFill patternType="solid">
        <x:fgColor rgb="FFFFF200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/>
    <x:xf numFmtId="0" fontId="5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201" fontId="3" fillId="0" borderId="1" xfId="0" applyNumberFormat="1" applyFont="1" applyFill="1" applyBorder="1"/>
    <x:xf numFmtId="0" fontId="5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3" fillId="3" borderId="1" xfId="0" applyNumberFormat="1" applyFont="1" applyFill="1" applyBorder="1"/>
    <x:xf numFmtId="201" fontId="3" fillId="3" borderId="1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1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201" fontId="4" fillId="3" borderId="2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/>
    <x:xf numFmtId="0" fontId="3" fillId="6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/>
    </x:xf>
    <x:xf numFmtId="201" fontId="4" fillId="3" borderId="3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/>
    <x:xf numFmtId="0" fontId="3" fillId="6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3" fillId="6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/>
    </x:xf>
    <x:xf numFmtId="0" fontId="5" fillId="8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/>
    </x:xf>
    <x:xf numFmtId="0" fontId="5" fillId="8" borderId="3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201" fontId="4" fillId="3" borderId="2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201" fontId="4" fillId="3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0" borderId="3" xfId="0" applyNumberFormat="1" applyFont="1" applyFill="1" applyBorder="1" applyAlignment="1">
      <x:alignment horizontal="center"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0" xfId="0" applyNumberFormat="1" applyFont="1" applyFill="1" applyBorder="1"/>
    <x:xf numFmtId="0" fontId="3" fillId="7" borderId="0" xfId="0" applyNumberFormat="1" applyFont="1" applyFill="1" applyBorder="1"/>
    <x:xf numFmtId="0" fontId="5" fillId="7" borderId="0" xfId="0" applyNumberFormat="1" applyFont="1" applyFill="1" applyBorder="1"/>
    <x:xf numFmtId="0" fontId="3" fillId="8" borderId="0" xfId="0" applyNumberFormat="1" applyFont="1" applyFill="1" applyBorder="1"/>
    <x:xf numFmtId="0" fontId="5" fillId="8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wrapText="1"/>
    </x:xf>
    <x:xf numFmtId="201" fontId="4" fillId="3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f9d4b03524e2a" /><Relationship Type="http://schemas.openxmlformats.org/officeDocument/2006/relationships/theme" Target="/xl/theme/theme1.xml" Id="R896a7b5ced664e76" /><Relationship Type="http://schemas.openxmlformats.org/officeDocument/2006/relationships/sharedStrings" Target="/xl/sharedStrings.xml" Id="Ra590f3969776497b" /><Relationship Type="http://schemas.openxmlformats.org/officeDocument/2006/relationships/worksheet" Target="/xl/worksheets/sheet1.xml" Id="R6ec8c453bac14eb0" /><Relationship Type="http://schemas.openxmlformats.org/officeDocument/2006/relationships/worksheet" Target="/xl/worksheets/sheet2.xml" Id="R535000155a3d460e" /><Relationship Type="http://schemas.openxmlformats.org/officeDocument/2006/relationships/worksheet" Target="/xl/worksheets/sheet3.xml" Id="Rb646c169514c46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73a1d5b5de4e4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Estimate</c:v>
          </c:tx>
          <c:marker>
            <c:symbol val="none"/>
          </c:marker>
          <c:cat>
            <c:strRef>
              <c:f>'Chart'!$C$4:$C$25</c:f>
              <c:strCache>
                <c:ptCount val="0"/>
              </c:strCache>
            </c:strRef>
          </c:cat>
          <c:val>
            <c:numRef>
              <c:f>'Chart'!$A$4:$A$25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marker>
            <c:symbol val="none"/>
          </c:marker>
          <c:cat>
            <c:strRef>
              <c:f>'Chart'!$C$4:$C$25</c:f>
              <c:strCache>
                <c:ptCount val="0"/>
              </c:strCache>
            </c:strRef>
          </c:cat>
          <c:val>
            <c:numRef>
              <c:f>'Chart'!$B$4:$B$25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/mm" sourceLinked="0"/>
        <c:majorTickMark val="none"/>
        <c:minorTickMark val="none"/>
        <c:tickLblPos val="nextTo"/>
        <c:crossAx val="48672768"/>
        <c:auto val="1"/>
        <c:lblOffset val="100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73a1d5b5de4e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633845a6e8e411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0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>
      <x:c r="A1" s="94" t="str">
        <x:v>Project Name:</x:v>
      </x:c>
      <x:c r="B1" s="45"/>
      <x:c r="C1" s="94" t="str">
        <x:v>Smart Scheduling - Website for Automated Staff Scheduling and Shift</x:v>
      </x:c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/>
    </x:row>
    <x:row r="2">
      <x:c r="A2" s="94" t="str">
        <x:v>Module Name:</x:v>
      </x:c>
      <x:c r="B2" s="45"/>
      <x:c r="C2" s="94" t="str">
        <x:v>Sprint 2 - Automated Scheduling &amp; Publishing</x:v>
      </x:c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/>
    </x:row>
    <x:row r="3">
      <x:c r="A3" s="94" t="str">
        <x:v>Development Team:</x:v>
      </x:c>
      <x:c r="B3" s="45"/>
      <x:c r="C3" s="94" t="str">
        <x:v>C1SE.57</x:v>
      </x:c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/>
    </x:row>
    <x:row r="4">
      <x:c r="A4" s="94" t="str">
        <x:v>Start Date:</x:v>
      </x:c>
      <x:c r="B4" s="45"/>
      <x:c r="C4" s="95" t="n">
        <x:v>46288</x:v>
      </x:c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/>
    </x:row>
    <x:row r="5">
      <x:c r="A5" s="94" t="str">
        <x:v>End Date:</x:v>
      </x:c>
      <x:c r="B5" s="45"/>
      <x:c r="C5" s="95" t="n">
        <x:v>46309</x:v>
      </x:c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/>
    </x:row>
    <x:row r="7">
      <x:c r="A7" s="45"/>
      <x:c r="B7" s="45"/>
      <x:c r="C7" s="45"/>
      <x:c r="D7" s="45"/>
      <x:c r="E7" s="45"/>
      <x:c r="F7" s="45"/>
      <x:c r="G7" s="45"/>
      <x:c r="H7" s="96" t="str">
        <x:v>On Time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/>
    </x:row>
    <x:row r="8">
      <x:c r="A8" s="97" t="str">
        <x:v>No.</x:v>
      </x:c>
      <x:c r="B8" s="97" t="str">
        <x:v>Member Name</x:v>
      </x:c>
      <x:c r="C8" s="97" t="str">
        <x:v>Full Name</x:v>
      </x:c>
      <x:c r="D8" s="97" t="str">
        <x:v>Estimate</x:v>
      </x:c>
      <x:c r="E8" s="45"/>
      <x:c r="F8" s="45"/>
      <x:c r="G8" s="45"/>
      <x:c r="H8" s="98" t="str">
        <x:v>Lately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/>
    </x:row>
    <x:row r="9">
      <x:c r="A9" s="78" t="n">
        <x:v>1</x:v>
      </x:c>
      <x:c r="B9" s="78" t="str">
        <x:v>Tuan</x:v>
      </x:c>
      <x:c r="C9" s="78" t="str">
        <x:v>Lê Hà Đức Tuấn</x:v>
      </x:c>
      <x:c r="D9" s="78" t="n">
        <x:f>SUMIF($D$16:$D$51,B9,$E$16:$E$51)</x:f>
        <x:v>38</x:v>
      </x:c>
      <x:c r="E9" s="45"/>
      <x:c r="F9" s="45"/>
      <x:c r="G9" s="45"/>
      <x:c r="H9" s="99" t="str">
        <x:v>Early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/>
    </x:row>
    <x:row r="10">
      <x:c r="A10" s="78" t="n">
        <x:v>2</x:v>
      </x:c>
      <x:c r="B10" s="78" t="str">
        <x:v>Hien</x:v>
      </x:c>
      <x:c r="C10" s="78" t="str">
        <x:v>Lê Trần Thanh Hiền</x:v>
      </x:c>
      <x:c r="D10" s="78" t="n">
        <x:f>SUMIF($D$16:$D$51,B10,$E$16:$E$51)</x:f>
        <x:v>34</x:v>
      </x:c>
      <x:c r="E10" s="45"/>
      <x:c r="F10" s="45"/>
      <x:c r="G10" s="45"/>
      <x:c r="H10" s="100" t="str">
        <x:v>Unfinished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/>
    </x:row>
    <x:row r="11">
      <x:c r="A11" s="78" t="n">
        <x:v>3</x:v>
      </x:c>
      <x:c r="B11" s="78" t="str">
        <x:v>Nghia</x:v>
      </x:c>
      <x:c r="C11" s="78" t="str">
        <x:v>Lê Đình Nghĩa</x:v>
      </x:c>
      <x:c r="D11" s="78" t="n">
        <x:f>SUMIF($D$16:$D$51,B11,$E$16:$E$51)</x:f>
        <x:v>34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/>
    </x:row>
    <x:row r="12">
      <x:c r="A12" s="78" t="n">
        <x:v>4</x:v>
      </x:c>
      <x:c r="B12" s="78" t="str">
        <x:v>Quan</x:v>
      </x:c>
      <x:c r="C12" s="78" t="str">
        <x:v>Huỳnh Văn Minh Quân</x:v>
      </x:c>
      <x:c r="D12" s="78" t="n">
        <x:f>SUMIF($D$16:$D$51,B12,$E$16:$E$51)</x:f>
        <x:v>29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/>
    </x:row>
    <x:row r="13">
      <x:c r="A13" s="78" t="n">
        <x:v>5</x:v>
      </x:c>
      <x:c r="B13" s="78" t="str">
        <x:v>Luc</x:v>
      </x:c>
      <x:c r="C13" s="78" t="str">
        <x:v>Huỳnh Vũ Lực</x:v>
      </x:c>
      <x:c r="D13" s="78" t="n">
        <x:f>SUMIF($D$16:$D$51,B13,$E$16:$E$51)</x:f>
        <x:v>66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/>
    </x:row>
    <x:row r="14">
      <x:c r="A14" s="78" t="str">
        <x:v>Total</x:v>
      </x:c>
      <x:c r="B14" s="78"/>
      <x:c r="C14" s="78"/>
      <x:c r="D14" s="78" t="n">
        <x:f>SUM(D9:D13)</x:f>
        <x:v>201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/>
    </x:row>
    <x:row r="15">
      <x:c r="A15" s="101" t="str">
        <x:v>SPRINT 2 REPORT</x:v>
      </x:c>
      <x:c r="B15" s="101" t="str">
        <x:v>Component</x:v>
      </x:c>
      <x:c r="C15" s="101" t="str">
        <x:v>Task Name</x:v>
      </x:c>
      <x:c r="D15" s="101" t="str">
        <x:v>Responsible Member</x:v>
      </x:c>
      <x:c r="E15" s="101" t="str">
        <x:v>Estimate</x:v>
      </x:c>
      <x:c r="F15" s="102" t="n">
        <x:v>46288</x:v>
      </x:c>
      <x:c r="G15" s="102" t="n">
        <x:v>46289</x:v>
      </x:c>
      <x:c r="H15" s="102" t="n">
        <x:v>46290</x:v>
      </x:c>
      <x:c r="I15" s="102" t="n">
        <x:v>46291</x:v>
      </x:c>
      <x:c r="J15" s="102" t="n">
        <x:v>46292</x:v>
      </x:c>
      <x:c r="K15" s="102" t="n">
        <x:v>46293</x:v>
      </x:c>
      <x:c r="L15" s="102" t="n">
        <x:v>46294</x:v>
      </x:c>
      <x:c r="M15" s="102" t="n">
        <x:v>46295</x:v>
      </x:c>
      <x:c r="N15" s="102" t="n">
        <x:v>46296</x:v>
      </x:c>
      <x:c r="O15" s="102" t="n">
        <x:v>46297</x:v>
      </x:c>
      <x:c r="P15" s="102" t="n">
        <x:v>46298</x:v>
      </x:c>
      <x:c r="Q15" s="102" t="n">
        <x:v>46299</x:v>
      </x:c>
      <x:c r="R15" s="102" t="n">
        <x:v>46300</x:v>
      </x:c>
      <x:c r="S15" s="102" t="n">
        <x:v>46301</x:v>
      </x:c>
      <x:c r="T15" s="102" t="n">
        <x:v>46302</x:v>
      </x:c>
      <x:c r="U15" s="102" t="n">
        <x:v>46303</x:v>
      </x:c>
      <x:c r="V15" s="102" t="n">
        <x:v>46304</x:v>
      </x:c>
      <x:c r="W15" s="102" t="n">
        <x:v>46305</x:v>
      </x:c>
      <x:c r="X15" s="102" t="n">
        <x:v>46306</x:v>
      </x:c>
      <x:c r="Y15" s="102" t="n">
        <x:v>46307</x:v>
      </x:c>
      <x:c r="Z15" s="102" t="n">
        <x:v>46308</x:v>
      </x:c>
      <x:c r="AA15" s="28" t="n">
        <x:v>46309</x:v>
      </x:c>
    </x:row>
    <x:row r="16">
      <x:c r="A16" s="78"/>
      <x:c r="B16" s="103" t="str">
        <x:v>Planning</x:v>
      </x:c>
      <x:c r="C16" s="104"/>
      <x:c r="D16" s="104"/>
      <x:c r="E16" s="104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  <x:c r="V16" s="105"/>
      <x:c r="W16" s="105"/>
      <x:c r="X16" s="105"/>
      <x:c r="Y16" s="105"/>
      <x:c r="Z16" s="105"/>
      <x:c r="AA16"/>
    </x:row>
    <x:row r="17">
      <x:c r="A17" s="78"/>
      <x:c r="B17" s="78" t="str">
        <x:v>Planning</x:v>
      </x:c>
      <x:c r="C17" s="78" t="str">
        <x:v>Sprint Planning Meeting</x:v>
      </x:c>
      <x:c r="D17" s="78" t="str">
        <x:v>Tuan</x:v>
      </x:c>
      <x:c r="E17" s="78" t="n">
        <x:v>3</x:v>
      </x:c>
      <x:c r="F17" s="106" t="n">
        <x:v>0</x:v>
      </x:c>
      <x:c r="G17" s="106" t="n">
        <x:v>0</x:v>
      </x:c>
      <x:c r="H17" s="106" t="n">
        <x:v>0</x:v>
      </x:c>
      <x:c r="I17" s="106" t="n">
        <x:v>0</x:v>
      </x:c>
      <x:c r="J17" s="106" t="n">
        <x:v>0</x:v>
      </x:c>
      <x:c r="K17" s="106" t="n">
        <x:v>0</x:v>
      </x:c>
      <x:c r="L17" s="106" t="n">
        <x:v>0</x:v>
      </x:c>
      <x:c r="M17" s="106" t="n">
        <x:v>0</x:v>
      </x:c>
      <x:c r="N17" s="106" t="n">
        <x:v>0</x:v>
      </x:c>
      <x:c r="O17" s="106" t="n">
        <x:v>0</x:v>
      </x:c>
      <x:c r="P17" s="106" t="n">
        <x:v>0</x:v>
      </x:c>
      <x:c r="Q17" s="106" t="n">
        <x:v>0</x:v>
      </x:c>
      <x:c r="R17" s="106" t="n">
        <x:v>0</x:v>
      </x:c>
      <x:c r="S17" s="106" t="n">
        <x:v>0</x:v>
      </x:c>
      <x:c r="T17" s="106" t="n">
        <x:v>0</x:v>
      </x:c>
      <x:c r="U17" s="106" t="n">
        <x:v>0</x:v>
      </x:c>
      <x:c r="V17" s="106" t="n">
        <x:v>0</x:v>
      </x:c>
      <x:c r="W17" s="106" t="n">
        <x:v>0</x:v>
      </x:c>
      <x:c r="X17" s="106" t="n">
        <x:v>0</x:v>
      </x:c>
      <x:c r="Y17" s="106" t="n">
        <x:v>0</x:v>
      </x:c>
      <x:c r="Z17" s="106" t="n">
        <x:v>0</x:v>
      </x:c>
      <x:c r="AA17" t="n">
        <x:v>0</x:v>
      </x:c>
    </x:row>
    <x:row r="18">
      <x:c r="A18" s="78"/>
      <x:c r="B18" s="78" t="str">
        <x:v>Planning</x:v>
      </x:c>
      <x:c r="C18" s="78" t="str">
        <x:v>Create Sprint Backlog &amp; Test Plan</x:v>
      </x:c>
      <x:c r="D18" s="78" t="str">
        <x:v>Tuan</x:v>
      </x:c>
      <x:c r="E18" s="78" t="n">
        <x:v>4</x:v>
      </x:c>
      <x:c r="F18" s="106" t="n">
        <x:v>2</x:v>
      </x:c>
      <x:c r="G18" s="106" t="n">
        <x:v>0</x:v>
      </x:c>
      <x:c r="H18" s="106" t="n">
        <x:v>0</x:v>
      </x:c>
      <x:c r="I18" s="106" t="n">
        <x:v>0</x:v>
      </x:c>
      <x:c r="J18" s="106" t="n">
        <x:v>0</x:v>
      </x:c>
      <x:c r="K18" s="106" t="n">
        <x:v>0</x:v>
      </x:c>
      <x:c r="L18" s="106" t="n">
        <x:v>0</x:v>
      </x:c>
      <x:c r="M18" s="106" t="n">
        <x:v>0</x:v>
      </x:c>
      <x:c r="N18" s="106" t="n">
        <x:v>0</x:v>
      </x:c>
      <x:c r="O18" s="106" t="n">
        <x:v>0</x:v>
      </x:c>
      <x:c r="P18" s="106" t="n">
        <x:v>0</x:v>
      </x:c>
      <x:c r="Q18" s="106" t="n">
        <x:v>0</x:v>
      </x:c>
      <x:c r="R18" s="106" t="n">
        <x:v>0</x:v>
      </x:c>
      <x:c r="S18" s="106" t="n">
        <x:v>0</x:v>
      </x:c>
      <x:c r="T18" s="106" t="n">
        <x:v>0</x:v>
      </x:c>
      <x:c r="U18" s="106" t="n">
        <x:v>0</x:v>
      </x:c>
      <x:c r="V18" s="106" t="n">
        <x:v>0</x:v>
      </x:c>
      <x:c r="W18" s="106" t="n">
        <x:v>0</x:v>
      </x:c>
      <x:c r="X18" s="106" t="n">
        <x:v>0</x:v>
      </x:c>
      <x:c r="Y18" s="106" t="n">
        <x:v>0</x:v>
      </x:c>
      <x:c r="Z18" s="106" t="n">
        <x:v>0</x:v>
      </x:c>
      <x:c r="AA18" t="n">
        <x:v>0</x:v>
      </x:c>
    </x:row>
    <x:row r="19">
      <x:c r="A19" s="78"/>
      <x:c r="B19" s="103" t="str">
        <x:v>Design</x:v>
      </x:c>
      <x:c r="C19" s="104"/>
      <x:c r="D19" s="104"/>
      <x:c r="E19" s="104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/>
    </x:row>
    <x:row r="20">
      <x:c r="A20" s="78"/>
      <x:c r="B20" s="78" t="str">
        <x:v>Design</x:v>
      </x:c>
      <x:c r="C20" s="78" t="str">
        <x:v>Define hard / soft scheduling constraints</x:v>
      </x:c>
      <x:c r="D20" s="78" t="str">
        <x:v>Luc</x:v>
      </x:c>
      <x:c r="E20" s="78" t="n">
        <x:v>8</x:v>
      </x:c>
      <x:c r="F20" s="106" t="n">
        <x:v>8</x:v>
      </x:c>
      <x:c r="G20" s="106" t="n">
        <x:v>6</x:v>
      </x:c>
      <x:c r="H20" s="106" t="n">
        <x:v>4</x:v>
      </x:c>
      <x:c r="I20" s="106" t="n">
        <x:v>2</x:v>
      </x:c>
      <x:c r="J20" s="106" t="n">
        <x:v>0</x:v>
      </x:c>
      <x:c r="K20" s="106" t="n">
        <x:v>0</x:v>
      </x:c>
      <x:c r="L20" s="106" t="n">
        <x:v>0</x:v>
      </x:c>
      <x:c r="M20" s="106" t="n">
        <x:v>0</x:v>
      </x:c>
      <x:c r="N20" s="106" t="n">
        <x:v>0</x:v>
      </x:c>
      <x:c r="O20" s="106" t="n">
        <x:v>0</x:v>
      </x:c>
      <x:c r="P20" s="106" t="n">
        <x:v>0</x:v>
      </x:c>
      <x:c r="Q20" s="106" t="n">
        <x:v>0</x:v>
      </x:c>
      <x:c r="R20" s="106" t="n">
        <x:v>0</x:v>
      </x:c>
      <x:c r="S20" s="106" t="n">
        <x:v>0</x:v>
      </x:c>
      <x:c r="T20" s="106" t="n">
        <x:v>0</x:v>
      </x:c>
      <x:c r="U20" s="106" t="n">
        <x:v>0</x:v>
      </x:c>
      <x:c r="V20" s="106" t="n">
        <x:v>0</x:v>
      </x:c>
      <x:c r="W20" s="106" t="n">
        <x:v>0</x:v>
      </x:c>
      <x:c r="X20" s="106" t="n">
        <x:v>0</x:v>
      </x:c>
      <x:c r="Y20" s="106" t="n">
        <x:v>0</x:v>
      </x:c>
      <x:c r="Z20" s="106" t="n">
        <x:v>0</x:v>
      </x:c>
      <x:c r="AA20" t="n">
        <x:v>0</x:v>
      </x:c>
    </x:row>
    <x:row r="21">
      <x:c r="A21" s="78"/>
      <x:c r="B21" s="78" t="str">
        <x:v>Design</x:v>
      </x:c>
      <x:c r="C21" s="78" t="str">
        <x:v>Design SchedulingRun &amp; job status model</x:v>
      </x:c>
      <x:c r="D21" s="78" t="str">
        <x:v>Nghia</x:v>
      </x:c>
      <x:c r="E21" s="78" t="n">
        <x:v>6</x:v>
      </x:c>
      <x:c r="F21" s="106" t="n">
        <x:v>6</x:v>
      </x:c>
      <x:c r="G21" s="106" t="n">
        <x:v>6</x:v>
      </x:c>
      <x:c r="H21" s="106" t="n">
        <x:v>4</x:v>
      </x:c>
      <x:c r="I21" s="106" t="n">
        <x:v>2</x:v>
      </x:c>
      <x:c r="J21" s="106" t="n">
        <x:v>0</x:v>
      </x:c>
      <x:c r="K21" s="106" t="n">
        <x:v>0</x:v>
      </x:c>
      <x:c r="L21" s="106" t="n">
        <x:v>0</x:v>
      </x:c>
      <x:c r="M21" s="106" t="n">
        <x:v>0</x:v>
      </x:c>
      <x:c r="N21" s="106" t="n">
        <x:v>0</x:v>
      </x:c>
      <x:c r="O21" s="106" t="n">
        <x:v>0</x:v>
      </x:c>
      <x:c r="P21" s="106" t="n">
        <x:v>0</x:v>
      </x:c>
      <x:c r="Q21" s="106" t="n">
        <x:v>0</x:v>
      </x:c>
      <x:c r="R21" s="106" t="n">
        <x:v>0</x:v>
      </x:c>
      <x:c r="S21" s="106" t="n">
        <x:v>0</x:v>
      </x:c>
      <x:c r="T21" s="106" t="n">
        <x:v>0</x:v>
      </x:c>
      <x:c r="U21" s="106" t="n">
        <x:v>0</x:v>
      </x:c>
      <x:c r="V21" s="106" t="n">
        <x:v>0</x:v>
      </x:c>
      <x:c r="W21" s="106" t="n">
        <x:v>0</x:v>
      </x:c>
      <x:c r="X21" s="106" t="n">
        <x:v>0</x:v>
      </x:c>
      <x:c r="Y21" s="106" t="n">
        <x:v>0</x:v>
      </x:c>
      <x:c r="Z21" s="106" t="n">
        <x:v>0</x:v>
      </x:c>
      <x:c r="AA21" t="n">
        <x:v>0</x:v>
      </x:c>
    </x:row>
    <x:row r="22">
      <x:c r="A22" s="78"/>
      <x:c r="B22" s="78" t="str">
        <x:v>Design</x:v>
      </x:c>
      <x:c r="C22" s="78" t="str">
        <x:v>Design Manager schedule review UI</x:v>
      </x:c>
      <x:c r="D22" s="78" t="str">
        <x:v>Hien</x:v>
      </x:c>
      <x:c r="E22" s="78" t="n">
        <x:v>6</x:v>
      </x:c>
      <x:c r="F22" s="106" t="n">
        <x:v>6</x:v>
      </x:c>
      <x:c r="G22" s="106" t="n">
        <x:v>6</x:v>
      </x:c>
      <x:c r="H22" s="106" t="n">
        <x:v>4</x:v>
      </x:c>
      <x:c r="I22" s="106" t="n">
        <x:v>2</x:v>
      </x:c>
      <x:c r="J22" s="106" t="n">
        <x:v>0</x:v>
      </x:c>
      <x:c r="K22" s="106" t="n">
        <x:v>0</x:v>
      </x:c>
      <x:c r="L22" s="106" t="n">
        <x:v>0</x:v>
      </x:c>
      <x:c r="M22" s="106" t="n">
        <x:v>0</x:v>
      </x:c>
      <x:c r="N22" s="106" t="n">
        <x:v>0</x:v>
      </x:c>
      <x:c r="O22" s="106" t="n">
        <x:v>0</x:v>
      </x:c>
      <x:c r="P22" s="106" t="n">
        <x:v>0</x:v>
      </x:c>
      <x:c r="Q22" s="106" t="n">
        <x:v>0</x:v>
      </x:c>
      <x:c r="R22" s="106" t="n">
        <x:v>0</x:v>
      </x:c>
      <x:c r="S22" s="106" t="n">
        <x:v>0</x:v>
      </x:c>
      <x:c r="T22" s="106" t="n">
        <x:v>0</x:v>
      </x:c>
      <x:c r="U22" s="106" t="n">
        <x:v>0</x:v>
      </x:c>
      <x:c r="V22" s="106" t="n">
        <x:v>0</x:v>
      </x:c>
      <x:c r="W22" s="106" t="n">
        <x:v>0</x:v>
      </x:c>
      <x:c r="X22" s="106" t="n">
        <x:v>0</x:v>
      </x:c>
      <x:c r="Y22" s="106" t="n">
        <x:v>0</x:v>
      </x:c>
      <x:c r="Z22" s="106" t="n">
        <x:v>0</x:v>
      </x:c>
      <x:c r="AA22" t="n">
        <x:v>0</x:v>
      </x:c>
    </x:row>
    <x:row r="23">
      <x:c r="A23" s="78"/>
      <x:c r="B23" s="78" t="str">
        <x:v>Design</x:v>
      </x:c>
      <x:c r="C23" s="78" t="str">
        <x:v>Design Staff published schedule UI (React Native)</x:v>
      </x:c>
      <x:c r="D23" s="78" t="str">
        <x:v>Quan</x:v>
      </x:c>
      <x:c r="E23" s="78" t="n">
        <x:v>5</x:v>
      </x:c>
      <x:c r="F23" s="106" t="n">
        <x:v>5</x:v>
      </x:c>
      <x:c r="G23" s="106" t="n">
        <x:v>5</x:v>
      </x:c>
      <x:c r="H23" s="106" t="n">
        <x:v>5</x:v>
      </x:c>
      <x:c r="I23" s="106" t="n">
        <x:v>3.5</x:v>
      </x:c>
      <x:c r="J23" s="106" t="n">
        <x:v>1.5</x:v>
      </x:c>
      <x:c r="K23" s="106" t="n">
        <x:v>0</x:v>
      </x:c>
      <x:c r="L23" s="106" t="n">
        <x:v>0</x:v>
      </x:c>
      <x:c r="M23" s="106" t="n">
        <x:v>0</x:v>
      </x:c>
      <x:c r="N23" s="106" t="n">
        <x:v>0</x:v>
      </x:c>
      <x:c r="O23" s="106" t="n">
        <x:v>0</x:v>
      </x:c>
      <x:c r="P23" s="106" t="n">
        <x:v>0</x:v>
      </x:c>
      <x:c r="Q23" s="106" t="n">
        <x:v>0</x:v>
      </x:c>
      <x:c r="R23" s="106" t="n">
        <x:v>0</x:v>
      </x:c>
      <x:c r="S23" s="106" t="n">
        <x:v>0</x:v>
      </x:c>
      <x:c r="T23" s="106" t="n">
        <x:v>0</x:v>
      </x:c>
      <x:c r="U23" s="106" t="n">
        <x:v>0</x:v>
      </x:c>
      <x:c r="V23" s="106" t="n">
        <x:v>0</x:v>
      </x:c>
      <x:c r="W23" s="106" t="n">
        <x:v>0</x:v>
      </x:c>
      <x:c r="X23" s="106" t="n">
        <x:v>0</x:v>
      </x:c>
      <x:c r="Y23" s="106" t="n">
        <x:v>0</x:v>
      </x:c>
      <x:c r="Z23" s="106" t="n">
        <x:v>0</x:v>
      </x:c>
      <x:c r="AA23" t="n">
        <x:v>0</x:v>
      </x:c>
    </x:row>
    <x:row r="24">
      <x:c r="A24" s="78"/>
      <x:c r="B24" s="103" t="str">
        <x:v>Scheduling</x:v>
      </x:c>
      <x:c r="C24" s="104"/>
      <x:c r="D24" s="104"/>
      <x:c r="E24" s="104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  <x:c r="V24" s="105"/>
      <x:c r="W24" s="105"/>
      <x:c r="X24" s="105"/>
      <x:c r="Y24" s="105"/>
      <x:c r="Z24" s="105"/>
      <x:c r="AA24"/>
    </x:row>
    <x:row r="25">
      <x:c r="A25" s="78"/>
      <x:c r="B25" s="78" t="str">
        <x:v>Scheduling</x:v>
      </x:c>
      <x:c r="C25" s="78" t="str">
        <x:v>Build FastAPI Scheduling Service</x:v>
      </x:c>
      <x:c r="D25" s="78" t="str">
        <x:v>Luc</x:v>
      </x:c>
      <x:c r="E25" s="78" t="n">
        <x:v>10</x:v>
      </x:c>
      <x:c r="F25" s="106" t="n">
        <x:v>10</x:v>
      </x:c>
      <x:c r="G25" s="106" t="n">
        <x:v>10</x:v>
      </x:c>
      <x:c r="H25" s="106" t="n">
        <x:v>10</x:v>
      </x:c>
      <x:c r="I25" s="106" t="n">
        <x:v>10</x:v>
      </x:c>
      <x:c r="J25" s="106" t="n">
        <x:v>8</x:v>
      </x:c>
      <x:c r="K25" s="106" t="n">
        <x:v>6</x:v>
      </x:c>
      <x:c r="L25" s="106" t="n">
        <x:v>4</x:v>
      </x:c>
      <x:c r="M25" s="106" t="n">
        <x:v>2</x:v>
      </x:c>
      <x:c r="N25" s="106" t="n">
        <x:v>0</x:v>
      </x:c>
      <x:c r="O25" s="106" t="n">
        <x:v>0</x:v>
      </x:c>
      <x:c r="P25" s="106" t="n">
        <x:v>0</x:v>
      </x:c>
      <x:c r="Q25" s="106" t="n">
        <x:v>0</x:v>
      </x:c>
      <x:c r="R25" s="106" t="n">
        <x:v>0</x:v>
      </x:c>
      <x:c r="S25" s="106" t="n">
        <x:v>0</x:v>
      </x:c>
      <x:c r="T25" s="106" t="n">
        <x:v>0</x:v>
      </x:c>
      <x:c r="U25" s="106" t="n">
        <x:v>0</x:v>
      </x:c>
      <x:c r="V25" s="106" t="n">
        <x:v>0</x:v>
      </x:c>
      <x:c r="W25" s="106" t="n">
        <x:v>0</x:v>
      </x:c>
      <x:c r="X25" s="106" t="n">
        <x:v>0</x:v>
      </x:c>
      <x:c r="Y25" s="106" t="n">
        <x:v>0</x:v>
      </x:c>
      <x:c r="Z25" s="106" t="n">
        <x:v>0</x:v>
      </x:c>
      <x:c r="AA25" t="n">
        <x:v>0</x:v>
      </x:c>
    </x:row>
    <x:row r="26">
      <x:c r="A26" s="78"/>
      <x:c r="B26" s="78" t="str">
        <x:v>Scheduling</x:v>
      </x:c>
      <x:c r="C26" s="78" t="str">
        <x:v>Implement OR-Tools CP-SAT base model</x:v>
      </x:c>
      <x:c r="D26" s="78" t="str">
        <x:v>Luc</x:v>
      </x:c>
      <x:c r="E26" s="78" t="n">
        <x:v>14</x:v>
      </x:c>
      <x:c r="F26" s="106" t="n">
        <x:v>14</x:v>
      </x:c>
      <x:c r="G26" s="106" t="n">
        <x:v>14</x:v>
      </x:c>
      <x:c r="H26" s="106" t="n">
        <x:v>14</x:v>
      </x:c>
      <x:c r="I26" s="106" t="n">
        <x:v>14</x:v>
      </x:c>
      <x:c r="J26" s="106" t="n">
        <x:v>14</x:v>
      </x:c>
      <x:c r="K26" s="106" t="n">
        <x:v>12</x:v>
      </x:c>
      <x:c r="L26" s="106" t="n">
        <x:v>10</x:v>
      </x:c>
      <x:c r="M26" s="106" t="n">
        <x:v>8</x:v>
      </x:c>
      <x:c r="N26" s="106" t="n">
        <x:v>6</x:v>
      </x:c>
      <x:c r="O26" s="106" t="n">
        <x:v>4</x:v>
      </x:c>
      <x:c r="P26" s="106" t="n">
        <x:v>2</x:v>
      </x:c>
      <x:c r="Q26" s="106" t="n">
        <x:v>0</x:v>
      </x:c>
      <x:c r="R26" s="106" t="n">
        <x:v>0</x:v>
      </x:c>
      <x:c r="S26" s="106" t="n">
        <x:v>0</x:v>
      </x:c>
      <x:c r="T26" s="106" t="n">
        <x:v>0</x:v>
      </x:c>
      <x:c r="U26" s="106" t="n">
        <x:v>0</x:v>
      </x:c>
      <x:c r="V26" s="106" t="n">
        <x:v>0</x:v>
      </x:c>
      <x:c r="W26" s="106" t="n">
        <x:v>0</x:v>
      </x:c>
      <x:c r="X26" s="106" t="n">
        <x:v>0</x:v>
      </x:c>
      <x:c r="Y26" s="106" t="n">
        <x:v>0</x:v>
      </x:c>
      <x:c r="Z26" s="106" t="n">
        <x:v>0</x:v>
      </x:c>
      <x:c r="AA26" t="n">
        <x:v>0</x:v>
      </x:c>
    </x:row>
    <x:row r="27">
      <x:c r="A27" s="78"/>
      <x:c r="B27" s="78" t="str">
        <x:v>Scheduling</x:v>
      </x:c>
      <x:c r="C27" s="78" t="str">
        <x:v>Implement hard constraints</x:v>
      </x:c>
      <x:c r="D27" s="78" t="str">
        <x:v>Luc</x:v>
      </x:c>
      <x:c r="E27" s="78" t="n">
        <x:v>12</x:v>
      </x:c>
      <x:c r="F27" s="106" t="n">
        <x:v>12</x:v>
      </x:c>
      <x:c r="G27" s="106" t="n">
        <x:v>12</x:v>
      </x:c>
      <x:c r="H27" s="106" t="n">
        <x:v>12</x:v>
      </x:c>
      <x:c r="I27" s="106" t="n">
        <x:v>12</x:v>
      </x:c>
      <x:c r="J27" s="106" t="n">
        <x:v>12</x:v>
      </x:c>
      <x:c r="K27" s="106" t="n">
        <x:v>12</x:v>
      </x:c>
      <x:c r="L27" s="106" t="n">
        <x:v>12</x:v>
      </x:c>
      <x:c r="M27" s="106" t="n">
        <x:v>12</x:v>
      </x:c>
      <x:c r="N27" s="106" t="n">
        <x:v>10</x:v>
      </x:c>
      <x:c r="O27" s="106" t="n">
        <x:v>8</x:v>
      </x:c>
      <x:c r="P27" s="106" t="n">
        <x:v>6</x:v>
      </x:c>
      <x:c r="Q27" s="106" t="n">
        <x:v>4</x:v>
      </x:c>
      <x:c r="R27" s="106" t="n">
        <x:v>2</x:v>
      </x:c>
      <x:c r="S27" s="106" t="n">
        <x:v>0</x:v>
      </x:c>
      <x:c r="T27" s="106" t="n">
        <x:v>0</x:v>
      </x:c>
      <x:c r="U27" s="106" t="n">
        <x:v>0</x:v>
      </x:c>
      <x:c r="V27" s="106" t="n">
        <x:v>0</x:v>
      </x:c>
      <x:c r="W27" s="106" t="n">
        <x:v>0</x:v>
      </x:c>
      <x:c r="X27" s="106" t="n">
        <x:v>0</x:v>
      </x:c>
      <x:c r="Y27" s="106" t="n">
        <x:v>0</x:v>
      </x:c>
      <x:c r="Z27" s="106" t="n">
        <x:v>0</x:v>
      </x:c>
      <x:c r="AA27" t="n">
        <x:v>0</x:v>
      </x:c>
    </x:row>
    <x:row r="28">
      <x:c r="A28" s="78"/>
      <x:c r="B28" s="78" t="str">
        <x:v>Scheduling</x:v>
      </x:c>
      <x:c r="C28" s="78" t="str">
        <x:v>Implement soft objectives &amp; unfilled-shift slack</x:v>
      </x:c>
      <x:c r="D28" s="78" t="str">
        <x:v>Luc</x:v>
      </x:c>
      <x:c r="E28" s="78" t="n">
        <x:v>10</x:v>
      </x:c>
      <x:c r="F28" s="106" t="n">
        <x:v>10</x:v>
      </x:c>
      <x:c r="G28" s="106" t="n">
        <x:v>10</x:v>
      </x:c>
      <x:c r="H28" s="106" t="n">
        <x:v>10</x:v>
      </x:c>
      <x:c r="I28" s="106" t="n">
        <x:v>10</x:v>
      </x:c>
      <x:c r="J28" s="106" t="n">
        <x:v>10</x:v>
      </x:c>
      <x:c r="K28" s="106" t="n">
        <x:v>10</x:v>
      </x:c>
      <x:c r="L28" s="106" t="n">
        <x:v>10</x:v>
      </x:c>
      <x:c r="M28" s="106" t="n">
        <x:v>10</x:v>
      </x:c>
      <x:c r="N28" s="106" t="n">
        <x:v>10</x:v>
      </x:c>
      <x:c r="O28" s="106" t="n">
        <x:v>10</x:v>
      </x:c>
      <x:c r="P28" s="106" t="n">
        <x:v>8</x:v>
      </x:c>
      <x:c r="Q28" s="106" t="n">
        <x:v>6</x:v>
      </x:c>
      <x:c r="R28" s="106" t="n">
        <x:v>4</x:v>
      </x:c>
      <x:c r="S28" s="106" t="n">
        <x:v>2</x:v>
      </x:c>
      <x:c r="T28" s="106" t="n">
        <x:v>0</x:v>
      </x:c>
      <x:c r="U28" s="106" t="n">
        <x:v>0</x:v>
      </x:c>
      <x:c r="V28" s="106" t="n">
        <x:v>0</x:v>
      </x:c>
      <x:c r="W28" s="106" t="n">
        <x:v>0</x:v>
      </x:c>
      <x:c r="X28" s="106" t="n">
        <x:v>0</x:v>
      </x:c>
      <x:c r="Y28" s="106" t="n">
        <x:v>0</x:v>
      </x:c>
      <x:c r="Z28" s="106" t="n">
        <x:v>0</x:v>
      </x:c>
      <x:c r="AA28" t="n">
        <x:v>0</x:v>
      </x:c>
    </x:row>
    <x:row r="29">
      <x:c r="A29" s="78"/>
      <x:c r="B29" s="103" t="str">
        <x:v>Backend</x:v>
      </x:c>
      <x:c r="C29" s="104"/>
      <x:c r="D29" s="104"/>
      <x:c r="E29" s="104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  <x:c r="V29" s="105"/>
      <x:c r="W29" s="105"/>
      <x:c r="X29" s="105"/>
      <x:c r="Y29" s="105"/>
      <x:c r="Z29" s="105"/>
      <x:c r="AA29"/>
    </x:row>
    <x:row r="30">
      <x:c r="A30" s="78"/>
      <x:c r="B30" s="78" t="str">
        <x:v>Backend</x:v>
      </x:c>
      <x:c r="C30" s="78" t="str">
        <x:v>Implement SchedulingRun orchestration</x:v>
      </x:c>
      <x:c r="D30" s="78" t="str">
        <x:v>Tuan</x:v>
      </x:c>
      <x:c r="E30" s="78" t="n">
        <x:v>10</x:v>
      </x:c>
      <x:c r="F30" s="106" t="n">
        <x:v>10</x:v>
      </x:c>
      <x:c r="G30" s="106" t="n">
        <x:v>10</x:v>
      </x:c>
      <x:c r="H30" s="106" t="n">
        <x:v>10</x:v>
      </x:c>
      <x:c r="I30" s="106" t="n">
        <x:v>10</x:v>
      </x:c>
      <x:c r="J30" s="106" t="n">
        <x:v>10</x:v>
      </x:c>
      <x:c r="K30" s="106" t="n">
        <x:v>8</x:v>
      </x:c>
      <x:c r="L30" s="106" t="n">
        <x:v>6</x:v>
      </x:c>
      <x:c r="M30" s="106" t="n">
        <x:v>4</x:v>
      </x:c>
      <x:c r="N30" s="106" t="n">
        <x:v>2</x:v>
      </x:c>
      <x:c r="O30" s="106" t="n">
        <x:v>0</x:v>
      </x:c>
      <x:c r="P30" s="106" t="n">
        <x:v>0</x:v>
      </x:c>
      <x:c r="Q30" s="106" t="n">
        <x:v>0</x:v>
      </x:c>
      <x:c r="R30" s="106" t="n">
        <x:v>0</x:v>
      </x:c>
      <x:c r="S30" s="106" t="n">
        <x:v>0</x:v>
      </x:c>
      <x:c r="T30" s="106" t="n">
        <x:v>0</x:v>
      </x:c>
      <x:c r="U30" s="106" t="n">
        <x:v>0</x:v>
      </x:c>
      <x:c r="V30" s="106" t="n">
        <x:v>0</x:v>
      </x:c>
      <x:c r="W30" s="106" t="n">
        <x:v>0</x:v>
      </x:c>
      <x:c r="X30" s="106" t="n">
        <x:v>0</x:v>
      </x:c>
      <x:c r="Y30" s="106" t="n">
        <x:v>0</x:v>
      </x:c>
      <x:c r="Z30" s="106" t="n">
        <x:v>0</x:v>
      </x:c>
      <x:c r="AA30" t="n">
        <x:v>0</x:v>
      </x:c>
    </x:row>
    <x:row r="31">
      <x:c r="A31" s="78"/>
      <x:c r="B31" s="78" t="str">
        <x:v>Backend</x:v>
      </x:c>
      <x:c r="C31" s="78" t="str">
        <x:v>Implement Redis queue / timeout / retry flow</x:v>
      </x:c>
      <x:c r="D31" s="78" t="str">
        <x:v>Tuan</x:v>
      </x:c>
      <x:c r="E31" s="78" t="n">
        <x:v>8</x:v>
      </x:c>
      <x:c r="F31" s="106" t="n">
        <x:v>8</x:v>
      </x:c>
      <x:c r="G31" s="106" t="n">
        <x:v>8</x:v>
      </x:c>
      <x:c r="H31" s="106" t="n">
        <x:v>8</x:v>
      </x:c>
      <x:c r="I31" s="106" t="n">
        <x:v>8</x:v>
      </x:c>
      <x:c r="J31" s="106" t="n">
        <x:v>8</x:v>
      </x:c>
      <x:c r="K31" s="106" t="n">
        <x:v>8</x:v>
      </x:c>
      <x:c r="L31" s="106" t="n">
        <x:v>8</x:v>
      </x:c>
      <x:c r="M31" s="106" t="n">
        <x:v>6</x:v>
      </x:c>
      <x:c r="N31" s="106" t="n">
        <x:v>4</x:v>
      </x:c>
      <x:c r="O31" s="106" t="n">
        <x:v>2</x:v>
      </x:c>
      <x:c r="P31" s="106" t="n">
        <x:v>0</x:v>
      </x:c>
      <x:c r="Q31" s="106" t="n">
        <x:v>0</x:v>
      </x:c>
      <x:c r="R31" s="106" t="n">
        <x:v>0</x:v>
      </x:c>
      <x:c r="S31" s="106" t="n">
        <x:v>0</x:v>
      </x:c>
      <x:c r="T31" s="106" t="n">
        <x:v>0</x:v>
      </x:c>
      <x:c r="U31" s="106" t="n">
        <x:v>0</x:v>
      </x:c>
      <x:c r="V31" s="106" t="n">
        <x:v>0</x:v>
      </x:c>
      <x:c r="W31" s="106" t="n">
        <x:v>0</x:v>
      </x:c>
      <x:c r="X31" s="106" t="n">
        <x:v>0</x:v>
      </x:c>
      <x:c r="Y31" s="106" t="n">
        <x:v>0</x:v>
      </x:c>
      <x:c r="Z31" s="106" t="n">
        <x:v>0</x:v>
      </x:c>
      <x:c r="AA31" t="n">
        <x:v>0</x:v>
      </x:c>
    </x:row>
    <x:row r="32">
      <x:c r="A32" s="78"/>
      <x:c r="B32" s="78" t="str">
        <x:v>Backend</x:v>
      </x:c>
      <x:c r="C32" s="78" t="str">
        <x:v>Implement schedule draft / version / publish APIs</x:v>
      </x:c>
      <x:c r="D32" s="78" t="str">
        <x:v>Nghia</x:v>
      </x:c>
      <x:c r="E32" s="78" t="n">
        <x:v>12</x:v>
      </x:c>
      <x:c r="F32" s="106" t="n">
        <x:v>12</x:v>
      </x:c>
      <x:c r="G32" s="106" t="n">
        <x:v>12</x:v>
      </x:c>
      <x:c r="H32" s="106" t="n">
        <x:v>12</x:v>
      </x:c>
      <x:c r="I32" s="106" t="n">
        <x:v>12</x:v>
      </x:c>
      <x:c r="J32" s="106" t="n">
        <x:v>12</x:v>
      </x:c>
      <x:c r="K32" s="106" t="n">
        <x:v>12</x:v>
      </x:c>
      <x:c r="L32" s="106" t="n">
        <x:v>12</x:v>
      </x:c>
      <x:c r="M32" s="106" t="n">
        <x:v>10</x:v>
      </x:c>
      <x:c r="N32" s="106" t="n">
        <x:v>8</x:v>
      </x:c>
      <x:c r="O32" s="106" t="n">
        <x:v>6</x:v>
      </x:c>
      <x:c r="P32" s="106" t="n">
        <x:v>4</x:v>
      </x:c>
      <x:c r="Q32" s="106" t="n">
        <x:v>2</x:v>
      </x:c>
      <x:c r="R32" s="106" t="n">
        <x:v>0</x:v>
      </x:c>
      <x:c r="S32" s="106" t="n">
        <x:v>0</x:v>
      </x:c>
      <x:c r="T32" s="106" t="n">
        <x:v>0</x:v>
      </x:c>
      <x:c r="U32" s="106" t="n">
        <x:v>0</x:v>
      </x:c>
      <x:c r="V32" s="106" t="n">
        <x:v>0</x:v>
      </x:c>
      <x:c r="W32" s="106" t="n">
        <x:v>0</x:v>
      </x:c>
      <x:c r="X32" s="106" t="n">
        <x:v>0</x:v>
      </x:c>
      <x:c r="Y32" s="106" t="n">
        <x:v>0</x:v>
      </x:c>
      <x:c r="Z32" s="106" t="n">
        <x:v>0</x:v>
      </x:c>
      <x:c r="AA32" t="n">
        <x:v>0</x:v>
      </x:c>
    </x:row>
    <x:row r="33">
      <x:c r="A33" s="78"/>
      <x:c r="B33" s="78" t="str">
        <x:v>Backend</x:v>
      </x:c>
      <x:c r="C33" s="78" t="str">
        <x:v>Implement manual schedule validation</x:v>
      </x:c>
      <x:c r="D33" s="78" t="str">
        <x:v>Nghia</x:v>
      </x:c>
      <x:c r="E33" s="78" t="n">
        <x:v>8</x:v>
      </x:c>
      <x:c r="F33" s="106" t="n">
        <x:v>8</x:v>
      </x:c>
      <x:c r="G33" s="106" t="n">
        <x:v>8</x:v>
      </x:c>
      <x:c r="H33" s="106" t="n">
        <x:v>8</x:v>
      </x:c>
      <x:c r="I33" s="106" t="n">
        <x:v>8</x:v>
      </x:c>
      <x:c r="J33" s="106" t="n">
        <x:v>8</x:v>
      </x:c>
      <x:c r="K33" s="106" t="n">
        <x:v>8</x:v>
      </x:c>
      <x:c r="L33" s="106" t="n">
        <x:v>8</x:v>
      </x:c>
      <x:c r="M33" s="106" t="n">
        <x:v>8</x:v>
      </x:c>
      <x:c r="N33" s="106" t="n">
        <x:v>8</x:v>
      </x:c>
      <x:c r="O33" s="106" t="n">
        <x:v>8</x:v>
      </x:c>
      <x:c r="P33" s="106" t="n">
        <x:v>6</x:v>
      </x:c>
      <x:c r="Q33" s="106" t="n">
        <x:v>4</x:v>
      </x:c>
      <x:c r="R33" s="106" t="n">
        <x:v>2</x:v>
      </x:c>
      <x:c r="S33" s="106" t="n">
        <x:v>0</x:v>
      </x:c>
      <x:c r="T33" s="106" t="n">
        <x:v>0</x:v>
      </x:c>
      <x:c r="U33" s="106" t="n">
        <x:v>0</x:v>
      </x:c>
      <x:c r="V33" s="106" t="n">
        <x:v>0</x:v>
      </x:c>
      <x:c r="W33" s="106" t="n">
        <x:v>0</x:v>
      </x:c>
      <x:c r="X33" s="106" t="n">
        <x:v>0</x:v>
      </x:c>
      <x:c r="Y33" s="106" t="n">
        <x:v>0</x:v>
      </x:c>
      <x:c r="Z33" s="106" t="n">
        <x:v>0</x:v>
      </x:c>
      <x:c r="AA33" t="n">
        <x:v>0</x:v>
      </x:c>
    </x:row>
    <x:row r="34">
      <x:c r="A34" s="78"/>
      <x:c r="B34" s="103" t="str">
        <x:v>Web</x:v>
      </x:c>
      <x:c r="C34" s="104"/>
      <x:c r="D34" s="104"/>
      <x:c r="E34" s="104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  <x:c r="V34" s="105"/>
      <x:c r="W34" s="105"/>
      <x:c r="X34" s="105"/>
      <x:c r="Y34" s="105"/>
      <x:c r="Z34" s="105"/>
      <x:c r="AA34"/>
    </x:row>
    <x:row r="35">
      <x:c r="A35" s="78"/>
      <x:c r="B35" s="78" t="str">
        <x:v>Web</x:v>
      </x:c>
      <x:c r="C35" s="78" t="str">
        <x:v>Implement Manager weekly schedule view</x:v>
      </x:c>
      <x:c r="D35" s="78" t="str">
        <x:v>Hien</x:v>
      </x:c>
      <x:c r="E35" s="78" t="n">
        <x:v>10</x:v>
      </x:c>
      <x:c r="F35" s="106" t="n">
        <x:v>10</x:v>
      </x:c>
      <x:c r="G35" s="106" t="n">
        <x:v>10</x:v>
      </x:c>
      <x:c r="H35" s="106" t="n">
        <x:v>10</x:v>
      </x:c>
      <x:c r="I35" s="106" t="n">
        <x:v>10</x:v>
      </x:c>
      <x:c r="J35" s="106" t="n">
        <x:v>10</x:v>
      </x:c>
      <x:c r="K35" s="106" t="n">
        <x:v>10</x:v>
      </x:c>
      <x:c r="L35" s="106" t="n">
        <x:v>8</x:v>
      </x:c>
      <x:c r="M35" s="106" t="n">
        <x:v>6</x:v>
      </x:c>
      <x:c r="N35" s="106" t="n">
        <x:v>4</x:v>
      </x:c>
      <x:c r="O35" s="106" t="n">
        <x:v>2</x:v>
      </x:c>
      <x:c r="P35" s="106" t="n">
        <x:v>0</x:v>
      </x:c>
      <x:c r="Q35" s="106" t="n">
        <x:v>0</x:v>
      </x:c>
      <x:c r="R35" s="106" t="n">
        <x:v>0</x:v>
      </x:c>
      <x:c r="S35" s="106" t="n">
        <x:v>0</x:v>
      </x:c>
      <x:c r="T35" s="106" t="n">
        <x:v>0</x:v>
      </x:c>
      <x:c r="U35" s="106" t="n">
        <x:v>0</x:v>
      </x:c>
      <x:c r="V35" s="106" t="n">
        <x:v>0</x:v>
      </x:c>
      <x:c r="W35" s="106" t="n">
        <x:v>0</x:v>
      </x:c>
      <x:c r="X35" s="106" t="n">
        <x:v>0</x:v>
      </x:c>
      <x:c r="Y35" s="106" t="n">
        <x:v>0</x:v>
      </x:c>
      <x:c r="Z35" s="106" t="n">
        <x:v>0</x:v>
      </x:c>
      <x:c r="AA35" t="n">
        <x:v>0</x:v>
      </x:c>
    </x:row>
    <x:row r="36">
      <x:c r="A36" s="78"/>
      <x:c r="B36" s="78" t="str">
        <x:v>Web</x:v>
      </x:c>
      <x:c r="C36" s="78" t="str">
        <x:v>Implement review / manual edit / publish</x:v>
      </x:c>
      <x:c r="D36" s="78" t="str">
        <x:v>Hien</x:v>
      </x:c>
      <x:c r="E36" s="78" t="n">
        <x:v>12</x:v>
      </x:c>
      <x:c r="F36" s="106" t="n">
        <x:v>12</x:v>
      </x:c>
      <x:c r="G36" s="106" t="n">
        <x:v>12</x:v>
      </x:c>
      <x:c r="H36" s="106" t="n">
        <x:v>12</x:v>
      </x:c>
      <x:c r="I36" s="106" t="n">
        <x:v>12</x:v>
      </x:c>
      <x:c r="J36" s="106" t="n">
        <x:v>12</x:v>
      </x:c>
      <x:c r="K36" s="106" t="n">
        <x:v>12</x:v>
      </x:c>
      <x:c r="L36" s="106" t="n">
        <x:v>12</x:v>
      </x:c>
      <x:c r="M36" s="106" t="n">
        <x:v>12</x:v>
      </x:c>
      <x:c r="N36" s="106" t="n">
        <x:v>12</x:v>
      </x:c>
      <x:c r="O36" s="106" t="n">
        <x:v>10</x:v>
      </x:c>
      <x:c r="P36" s="106" t="n">
        <x:v>8</x:v>
      </x:c>
      <x:c r="Q36" s="106" t="n">
        <x:v>6</x:v>
      </x:c>
      <x:c r="R36" s="106" t="n">
        <x:v>4</x:v>
      </x:c>
      <x:c r="S36" s="106" t="n">
        <x:v>2</x:v>
      </x:c>
      <x:c r="T36" s="106" t="n">
        <x:v>0</x:v>
      </x:c>
      <x:c r="U36" s="106" t="n">
        <x:v>0</x:v>
      </x:c>
      <x:c r="V36" s="106" t="n">
        <x:v>0</x:v>
      </x:c>
      <x:c r="W36" s="106" t="n">
        <x:v>0</x:v>
      </x:c>
      <x:c r="X36" s="106" t="n">
        <x:v>0</x:v>
      </x:c>
      <x:c r="Y36" s="106" t="n">
        <x:v>0</x:v>
      </x:c>
      <x:c r="Z36" s="106" t="n">
        <x:v>0</x:v>
      </x:c>
      <x:c r="AA36" t="n">
        <x:v>0</x:v>
      </x:c>
    </x:row>
    <x:row r="37">
      <x:c r="A37" s="78"/>
      <x:c r="B37" s="103" t="str">
        <x:v>React Native</x:v>
      </x:c>
      <x:c r="C37" s="104"/>
      <x:c r="D37" s="104"/>
      <x:c r="E37" s="104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  <x:c r="V37" s="105"/>
      <x:c r="W37" s="105"/>
      <x:c r="X37" s="105"/>
      <x:c r="Y37" s="105"/>
      <x:c r="Z37" s="105"/>
      <x:c r="AA37"/>
    </x:row>
    <x:row r="38">
      <x:c r="A38" s="78"/>
      <x:c r="B38" s="78" t="str">
        <x:v>React Native</x:v>
      </x:c>
      <x:c r="C38" s="78" t="str">
        <x:v>Implement Staff published schedule view (React Native)</x:v>
      </x:c>
      <x:c r="D38" s="78" t="str">
        <x:v>Quan</x:v>
      </x:c>
      <x:c r="E38" s="78" t="n">
        <x:v>9</x:v>
      </x:c>
      <x:c r="F38" s="106" t="n">
        <x:v>9</x:v>
      </x:c>
      <x:c r="G38" s="106" t="n">
        <x:v>9</x:v>
      </x:c>
      <x:c r="H38" s="106" t="n">
        <x:v>9</x:v>
      </x:c>
      <x:c r="I38" s="106" t="n">
        <x:v>9</x:v>
      </x:c>
      <x:c r="J38" s="106" t="n">
        <x:v>9</x:v>
      </x:c>
      <x:c r="K38" s="106" t="n">
        <x:v>9</x:v>
      </x:c>
      <x:c r="L38" s="106" t="n">
        <x:v>9</x:v>
      </x:c>
      <x:c r="M38" s="106" t="n">
        <x:v>7</x:v>
      </x:c>
      <x:c r="N38" s="106" t="n">
        <x:v>5.5</x:v>
      </x:c>
      <x:c r="O38" s="106" t="n">
        <x:v>3.5</x:v>
      </x:c>
      <x:c r="P38" s="106" t="n">
        <x:v>2</x:v>
      </x:c>
      <x:c r="Q38" s="106" t="n">
        <x:v>0</x:v>
      </x:c>
      <x:c r="R38" s="106" t="n">
        <x:v>0</x:v>
      </x:c>
      <x:c r="S38" s="106" t="n">
        <x:v>0</x:v>
      </x:c>
      <x:c r="T38" s="106" t="n">
        <x:v>0</x:v>
      </x:c>
      <x:c r="U38" s="106" t="n">
        <x:v>0</x:v>
      </x:c>
      <x:c r="V38" s="106" t="n">
        <x:v>0</x:v>
      </x:c>
      <x:c r="W38" s="106" t="n">
        <x:v>0</x:v>
      </x:c>
      <x:c r="X38" s="106" t="n">
        <x:v>0</x:v>
      </x:c>
      <x:c r="Y38" s="106" t="n">
        <x:v>0</x:v>
      </x:c>
      <x:c r="Z38" s="106" t="n">
        <x:v>0</x:v>
      </x:c>
      <x:c r="AA38" t="n">
        <x:v>0</x:v>
      </x:c>
    </x:row>
    <x:row r="39">
      <x:c r="A39" s="78"/>
      <x:c r="B39" s="103" t="str">
        <x:v>Notification</x:v>
      </x:c>
      <x:c r="C39" s="104"/>
      <x:c r="D39" s="104"/>
      <x:c r="E39" s="104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  <x:c r="V39" s="105"/>
      <x:c r="W39" s="105"/>
      <x:c r="X39" s="105"/>
      <x:c r="Y39" s="105"/>
      <x:c r="Z39" s="105"/>
      <x:c r="AA39"/>
    </x:row>
    <x:row r="40">
      <x:c r="A40" s="78"/>
      <x:c r="B40" s="78" t="str">
        <x:v>Notification</x:v>
      </x:c>
      <x:c r="C40" s="78" t="str">
        <x:v>Implement schedule publish/change notifications</x:v>
      </x:c>
      <x:c r="D40" s="78" t="str">
        <x:v>Quan</x:v>
      </x:c>
      <x:c r="E40" s="78" t="n">
        <x:v>7</x:v>
      </x:c>
      <x:c r="F40" s="106" t="n">
        <x:v>7</x:v>
      </x:c>
      <x:c r="G40" s="106" t="n">
        <x:v>7</x:v>
      </x:c>
      <x:c r="H40" s="106" t="n">
        <x:v>7</x:v>
      </x:c>
      <x:c r="I40" s="106" t="n">
        <x:v>7</x:v>
      </x:c>
      <x:c r="J40" s="106" t="n">
        <x:v>7</x:v>
      </x:c>
      <x:c r="K40" s="106" t="n">
        <x:v>7</x:v>
      </x:c>
      <x:c r="L40" s="106" t="n">
        <x:v>7</x:v>
      </x:c>
      <x:c r="M40" s="106" t="n">
        <x:v>7</x:v>
      </x:c>
      <x:c r="N40" s="106" t="n">
        <x:v>7</x:v>
      </x:c>
      <x:c r="O40" s="106" t="n">
        <x:v>7</x:v>
      </x:c>
      <x:c r="P40" s="106" t="n">
        <x:v>7</x:v>
      </x:c>
      <x:c r="Q40" s="106" t="n">
        <x:v>5</x:v>
      </x:c>
      <x:c r="R40" s="106" t="n">
        <x:v>3.5</x:v>
      </x:c>
      <x:c r="S40" s="106" t="n">
        <x:v>2</x:v>
      </x:c>
      <x:c r="T40" s="106" t="n">
        <x:v>0</x:v>
      </x:c>
      <x:c r="U40" s="106" t="n">
        <x:v>0</x:v>
      </x:c>
      <x:c r="V40" s="106" t="n">
        <x:v>0</x:v>
      </x:c>
      <x:c r="W40" s="106" t="n">
        <x:v>0</x:v>
      </x:c>
      <x:c r="X40" s="106" t="n">
        <x:v>0</x:v>
      </x:c>
      <x:c r="Y40" s="106" t="n">
        <x:v>0</x:v>
      </x:c>
      <x:c r="Z40" s="106" t="n">
        <x:v>0</x:v>
      </x:c>
      <x:c r="AA40" t="n">
        <x:v>0</x:v>
      </x:c>
    </x:row>
    <x:row r="41">
      <x:c r="A41" s="78"/>
      <x:c r="B41" s="103" t="str">
        <x:v>Integration</x:v>
      </x:c>
      <x:c r="C41" s="104"/>
      <x:c r="D41" s="104"/>
      <x:c r="E41" s="104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  <x:c r="V41" s="105"/>
      <x:c r="W41" s="105"/>
      <x:c r="X41" s="105"/>
      <x:c r="Y41" s="105"/>
      <x:c r="Z41" s="105"/>
      <x:c r="AA41"/>
    </x:row>
    <x:row r="42">
      <x:c r="A42" s="78"/>
      <x:c r="B42" s="78" t="str">
        <x:v>Integration</x:v>
      </x:c>
      <x:c r="C42" s="78" t="str">
        <x:v>Integrate Laravel ↔ Scheduling Service</x:v>
      </x:c>
      <x:c r="D42" s="78" t="str">
        <x:v>Tuan</x:v>
      </x:c>
      <x:c r="E42" s="78" t="n">
        <x:v>8</x:v>
      </x:c>
      <x:c r="F42" s="106" t="n">
        <x:v>8</x:v>
      </x:c>
      <x:c r="G42" s="106" t="n">
        <x:v>8</x:v>
      </x:c>
      <x:c r="H42" s="106" t="n">
        <x:v>8</x:v>
      </x:c>
      <x:c r="I42" s="106" t="n">
        <x:v>8</x:v>
      </x:c>
      <x:c r="J42" s="106" t="n">
        <x:v>8</x:v>
      </x:c>
      <x:c r="K42" s="106" t="n">
        <x:v>8</x:v>
      </x:c>
      <x:c r="L42" s="106" t="n">
        <x:v>8</x:v>
      </x:c>
      <x:c r="M42" s="106" t="n">
        <x:v>8</x:v>
      </x:c>
      <x:c r="N42" s="106" t="n">
        <x:v>8</x:v>
      </x:c>
      <x:c r="O42" s="106" t="n">
        <x:v>8</x:v>
      </x:c>
      <x:c r="P42" s="106" t="n">
        <x:v>8</x:v>
      </x:c>
      <x:c r="Q42" s="106" t="n">
        <x:v>8</x:v>
      </x:c>
      <x:c r="R42" s="106" t="n">
        <x:v>6</x:v>
      </x:c>
      <x:c r="S42" s="106" t="n">
        <x:v>4</x:v>
      </x:c>
      <x:c r="T42" s="106" t="n">
        <x:v>2</x:v>
      </x:c>
      <x:c r="U42" s="106" t="n">
        <x:v>0</x:v>
      </x:c>
      <x:c r="V42" s="106" t="n">
        <x:v>0</x:v>
      </x:c>
      <x:c r="W42" s="106" t="n">
        <x:v>0</x:v>
      </x:c>
      <x:c r="X42" s="106" t="n">
        <x:v>0</x:v>
      </x:c>
      <x:c r="Y42" s="106" t="n">
        <x:v>0</x:v>
      </x:c>
      <x:c r="Z42" s="106" t="n">
        <x:v>0</x:v>
      </x:c>
      <x:c r="AA42" t="n">
        <x:v>0</x:v>
      </x:c>
    </x:row>
    <x:row r="43">
      <x:c r="A43" s="78"/>
      <x:c r="B43" s="103" t="str">
        <x:v>Resilience</x:v>
      </x:c>
      <x:c r="C43" s="104"/>
      <x:c r="D43" s="104"/>
      <x:c r="E43" s="104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  <x:c r="V43" s="105"/>
      <x:c r="W43" s="105"/>
      <x:c r="X43" s="105"/>
      <x:c r="Y43" s="105"/>
      <x:c r="Z43" s="105"/>
      <x:c r="AA43"/>
    </x:row>
    <x:row r="44">
      <x:c r="A44" s="78"/>
      <x:c r="B44" s="78" t="str">
        <x:v>Resilience</x:v>
      </x:c>
      <x:c r="C44" s="78" t="str">
        <x:v>Implement Scheduling Service health/fallback status</x:v>
      </x:c>
      <x:c r="D44" s="78" t="str">
        <x:v>Luc</x:v>
      </x:c>
      <x:c r="E44" s="78" t="n">
        <x:v>6</x:v>
      </x:c>
      <x:c r="F44" s="106" t="n">
        <x:v>6</x:v>
      </x:c>
      <x:c r="G44" s="106" t="n">
        <x:v>6</x:v>
      </x:c>
      <x:c r="H44" s="106" t="n">
        <x:v>6</x:v>
      </x:c>
      <x:c r="I44" s="106" t="n">
        <x:v>6</x:v>
      </x:c>
      <x:c r="J44" s="106" t="n">
        <x:v>6</x:v>
      </x:c>
      <x:c r="K44" s="106" t="n">
        <x:v>6</x:v>
      </x:c>
      <x:c r="L44" s="106" t="n">
        <x:v>6</x:v>
      </x:c>
      <x:c r="M44" s="106" t="n">
        <x:v>6</x:v>
      </x:c>
      <x:c r="N44" s="106" t="n">
        <x:v>6</x:v>
      </x:c>
      <x:c r="O44" s="106" t="n">
        <x:v>6</x:v>
      </x:c>
      <x:c r="P44" s="106" t="n">
        <x:v>6</x:v>
      </x:c>
      <x:c r="Q44" s="106" t="n">
        <x:v>6</x:v>
      </x:c>
      <x:c r="R44" s="106" t="n">
        <x:v>6</x:v>
      </x:c>
      <x:c r="S44" s="106" t="n">
        <x:v>4</x:v>
      </x:c>
      <x:c r="T44" s="106" t="n">
        <x:v>2</x:v>
      </x:c>
      <x:c r="U44" s="106" t="n">
        <x:v>0</x:v>
      </x:c>
      <x:c r="V44" s="106" t="n">
        <x:v>0</x:v>
      </x:c>
      <x:c r="W44" s="106" t="n">
        <x:v>0</x:v>
      </x:c>
      <x:c r="X44" s="106" t="n">
        <x:v>0</x:v>
      </x:c>
      <x:c r="Y44" s="106" t="n">
        <x:v>0</x:v>
      </x:c>
      <x:c r="Z44" s="106" t="n">
        <x:v>0</x:v>
      </x:c>
      <x:c r="AA44" t="n">
        <x:v>0</x:v>
      </x:c>
    </x:row>
    <x:row r="45">
      <x:c r="A45" s="78"/>
      <x:c r="B45" s="103" t="str">
        <x:v>Testing</x:v>
      </x:c>
      <x:c r="C45" s="104"/>
      <x:c r="D45" s="104"/>
      <x:c r="E45" s="104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  <x:c r="V45" s="105"/>
      <x:c r="W45" s="105"/>
      <x:c r="X45" s="105"/>
      <x:c r="Y45" s="105"/>
      <x:c r="Z45" s="105"/>
      <x:c r="AA45"/>
    </x:row>
    <x:row r="46">
      <x:c r="A46" s="78"/>
      <x:c r="B46" s="78" t="str">
        <x:v>Testing</x:v>
      </x:c>
      <x:c r="C46" s="78" t="str">
        <x:v>Constraint dataset tests - zero hard violations</x:v>
      </x:c>
      <x:c r="D46" s="78" t="str">
        <x:v>Nghia</x:v>
      </x:c>
      <x:c r="E46" s="78" t="n">
        <x:v>8</x:v>
      </x:c>
      <x:c r="F46" s="106" t="n">
        <x:v>8</x:v>
      </x:c>
      <x:c r="G46" s="106" t="n">
        <x:v>8</x:v>
      </x:c>
      <x:c r="H46" s="106" t="n">
        <x:v>8</x:v>
      </x:c>
      <x:c r="I46" s="106" t="n">
        <x:v>8</x:v>
      </x:c>
      <x:c r="J46" s="106" t="n">
        <x:v>8</x:v>
      </x:c>
      <x:c r="K46" s="106" t="n">
        <x:v>8</x:v>
      </x:c>
      <x:c r="L46" s="106" t="n">
        <x:v>8</x:v>
      </x:c>
      <x:c r="M46" s="106" t="n">
        <x:v>8</x:v>
      </x:c>
      <x:c r="N46" s="106" t="n">
        <x:v>8</x:v>
      </x:c>
      <x:c r="O46" s="106" t="n">
        <x:v>8</x:v>
      </x:c>
      <x:c r="P46" s="106" t="n">
        <x:v>8</x:v>
      </x:c>
      <x:c r="Q46" s="106" t="n">
        <x:v>8</x:v>
      </x:c>
      <x:c r="R46" s="106" t="n">
        <x:v>8</x:v>
      </x:c>
      <x:c r="S46" s="106" t="n">
        <x:v>8</x:v>
      </x:c>
      <x:c r="T46" s="106" t="n">
        <x:v>6</x:v>
      </x:c>
      <x:c r="U46" s="106" t="n">
        <x:v>4</x:v>
      </x:c>
      <x:c r="V46" s="106" t="n">
        <x:v>2</x:v>
      </x:c>
      <x:c r="W46" s="106" t="n">
        <x:v>0</x:v>
      </x:c>
      <x:c r="X46" s="106" t="n">
        <x:v>0</x:v>
      </x:c>
      <x:c r="Y46" s="106" t="n">
        <x:v>0</x:v>
      </x:c>
      <x:c r="Z46" s="106" t="n">
        <x:v>0</x:v>
      </x:c>
      <x:c r="AA46" t="n">
        <x:v>0</x:v>
      </x:c>
    </x:row>
    <x:row r="47">
      <x:c r="A47" s="78"/>
      <x:c r="B47" s="78" t="str">
        <x:v>Testing</x:v>
      </x:c>
      <x:c r="C47" s="78" t="str">
        <x:v>Solver performance test ≤ 15 seconds</x:v>
      </x:c>
      <x:c r="D47" s="78" t="str">
        <x:v>Luc</x:v>
      </x:c>
      <x:c r="E47" s="78" t="n">
        <x:v>6</x:v>
      </x:c>
      <x:c r="F47" s="106" t="n">
        <x:v>6</x:v>
      </x:c>
      <x:c r="G47" s="106" t="n">
        <x:v>6</x:v>
      </x:c>
      <x:c r="H47" s="106" t="n">
        <x:v>6</x:v>
      </x:c>
      <x:c r="I47" s="106" t="n">
        <x:v>6</x:v>
      </x:c>
      <x:c r="J47" s="106" t="n">
        <x:v>6</x:v>
      </x:c>
      <x:c r="K47" s="106" t="n">
        <x:v>6</x:v>
      </x:c>
      <x:c r="L47" s="106" t="n">
        <x:v>6</x:v>
      </x:c>
      <x:c r="M47" s="106" t="n">
        <x:v>6</x:v>
      </x:c>
      <x:c r="N47" s="106" t="n">
        <x:v>6</x:v>
      </x:c>
      <x:c r="O47" s="106" t="n">
        <x:v>6</x:v>
      </x:c>
      <x:c r="P47" s="106" t="n">
        <x:v>6</x:v>
      </x:c>
      <x:c r="Q47" s="106" t="n">
        <x:v>6</x:v>
      </x:c>
      <x:c r="R47" s="106" t="n">
        <x:v>6</x:v>
      </x:c>
      <x:c r="S47" s="106" t="n">
        <x:v>6</x:v>
      </x:c>
      <x:c r="T47" s="106" t="n">
        <x:v>6</x:v>
      </x:c>
      <x:c r="U47" s="106" t="n">
        <x:v>4</x:v>
      </x:c>
      <x:c r="V47" s="106" t="n">
        <x:v>2</x:v>
      </x:c>
      <x:c r="W47" s="106" t="n">
        <x:v>0</x:v>
      </x:c>
      <x:c r="X47" s="106" t="n">
        <x:v>0</x:v>
      </x:c>
      <x:c r="Y47" s="106" t="n">
        <x:v>0</x:v>
      </x:c>
      <x:c r="Z47" s="106" t="n">
        <x:v>0</x:v>
      </x:c>
      <x:c r="AA47" t="n">
        <x:v>0</x:v>
      </x:c>
    </x:row>
    <x:row r="48">
      <x:c r="A48" s="78"/>
      <x:c r="B48" s="78" t="str">
        <x:v>Testing</x:v>
      </x:c>
      <x:c r="C48" s="78" t="str">
        <x:v>Manual scheduling graceful-degradation test</x:v>
      </x:c>
      <x:c r="D48" s="78" t="str">
        <x:v>Tuan</x:v>
      </x:c>
      <x:c r="E48" s="78" t="n">
        <x:v>5</x:v>
      </x:c>
      <x:c r="F48" s="106" t="n">
        <x:v>5</x:v>
      </x:c>
      <x:c r="G48" s="106" t="n">
        <x:v>5</x:v>
      </x:c>
      <x:c r="H48" s="106" t="n">
        <x:v>5</x:v>
      </x:c>
      <x:c r="I48" s="106" t="n">
        <x:v>5</x:v>
      </x:c>
      <x:c r="J48" s="106" t="n">
        <x:v>5</x:v>
      </x:c>
      <x:c r="K48" s="106" t="n">
        <x:v>5</x:v>
      </x:c>
      <x:c r="L48" s="106" t="n">
        <x:v>5</x:v>
      </x:c>
      <x:c r="M48" s="106" t="n">
        <x:v>5</x:v>
      </x:c>
      <x:c r="N48" s="106" t="n">
        <x:v>5</x:v>
      </x:c>
      <x:c r="O48" s="106" t="n">
        <x:v>5</x:v>
      </x:c>
      <x:c r="P48" s="106" t="n">
        <x:v>5</x:v>
      </x:c>
      <x:c r="Q48" s="106" t="n">
        <x:v>5</x:v>
      </x:c>
      <x:c r="R48" s="106" t="n">
        <x:v>5</x:v>
      </x:c>
      <x:c r="S48" s="106" t="n">
        <x:v>5</x:v>
      </x:c>
      <x:c r="T48" s="106" t="n">
        <x:v>5</x:v>
      </x:c>
      <x:c r="U48" s="106" t="n">
        <x:v>5</x:v>
      </x:c>
      <x:c r="V48" s="106" t="n">
        <x:v>3.5</x:v>
      </x:c>
      <x:c r="W48" s="106" t="n">
        <x:v>1.5</x:v>
      </x:c>
      <x:c r="X48" s="106" t="n">
        <x:v>0</x:v>
      </x:c>
      <x:c r="Y48" s="106" t="n">
        <x:v>0</x:v>
      </x:c>
      <x:c r="Z48" s="106" t="n">
        <x:v>0</x:v>
      </x:c>
      <x:c r="AA48" t="n">
        <x:v>0</x:v>
      </x:c>
    </x:row>
    <x:row r="49">
      <x:c r="A49" s="78"/>
      <x:c r="B49" s="78" t="str">
        <x:v>Testing</x:v>
      </x:c>
      <x:c r="C49" s="78" t="str">
        <x:v>Schedule publish / notification E2E test</x:v>
      </x:c>
      <x:c r="D49" s="78" t="str">
        <x:v>Hien</x:v>
      </x:c>
      <x:c r="E49" s="78" t="n">
        <x:v>6</x:v>
      </x:c>
      <x:c r="F49" s="106" t="n">
        <x:v>6</x:v>
      </x:c>
      <x:c r="G49" s="106" t="n">
        <x:v>6</x:v>
      </x:c>
      <x:c r="H49" s="106" t="n">
        <x:v>6</x:v>
      </x:c>
      <x:c r="I49" s="106" t="n">
        <x:v>6</x:v>
      </x:c>
      <x:c r="J49" s="106" t="n">
        <x:v>6</x:v>
      </x:c>
      <x:c r="K49" s="106" t="n">
        <x:v>6</x:v>
      </x:c>
      <x:c r="L49" s="106" t="n">
        <x:v>6</x:v>
      </x:c>
      <x:c r="M49" s="106" t="n">
        <x:v>6</x:v>
      </x:c>
      <x:c r="N49" s="106" t="n">
        <x:v>6</x:v>
      </x:c>
      <x:c r="O49" s="106" t="n">
        <x:v>6</x:v>
      </x:c>
      <x:c r="P49" s="106" t="n">
        <x:v>6</x:v>
      </x:c>
      <x:c r="Q49" s="106" t="n">
        <x:v>6</x:v>
      </x:c>
      <x:c r="R49" s="106" t="n">
        <x:v>6</x:v>
      </x:c>
      <x:c r="S49" s="106" t="n">
        <x:v>6</x:v>
      </x:c>
      <x:c r="T49" s="106" t="n">
        <x:v>6</x:v>
      </x:c>
      <x:c r="U49" s="106" t="n">
        <x:v>6</x:v>
      </x:c>
      <x:c r="V49" s="106" t="n">
        <x:v>4</x:v>
      </x:c>
      <x:c r="W49" s="106" t="n">
        <x:v>2</x:v>
      </x:c>
      <x:c r="X49" s="106" t="n">
        <x:v>0</x:v>
      </x:c>
      <x:c r="Y49" s="106" t="n">
        <x:v>0</x:v>
      </x:c>
      <x:c r="Z49" s="106" t="n">
        <x:v>0</x:v>
      </x:c>
      <x:c r="AA49" t="n">
        <x:v>0</x:v>
      </x:c>
    </x:row>
    <x:row r="50">
      <x:c r="A50" s="78"/>
      <x:c r="B50" s="103" t="str">
        <x:v>Release</x:v>
      </x:c>
      <x:c r="C50" s="104"/>
      <x:c r="D50" s="104"/>
      <x:c r="E50" s="104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  <x:c r="V50" s="105"/>
      <x:c r="W50" s="105"/>
      <x:c r="X50" s="105"/>
      <x:c r="Y50" s="105"/>
      <x:c r="Z50" s="105"/>
      <x:c r="AA50"/>
    </x:row>
    <x:row r="51">
      <x:c r="A51" s="78"/>
      <x:c r="B51" s="78" t="str">
        <x:v>Release</x:v>
      </x:c>
      <x:c r="C51" s="78" t="str">
        <x:v>Bug fixing &amp; Sprint 2 release</x:v>
      </x:c>
      <x:c r="D51" s="78" t="str">
        <x:v>Quan</x:v>
      </x:c>
      <x:c r="E51" s="78" t="n">
        <x:v>8</x:v>
      </x:c>
      <x:c r="F51" s="106" t="n">
        <x:v>8</x:v>
      </x:c>
      <x:c r="G51" s="106" t="n">
        <x:v>8</x:v>
      </x:c>
      <x:c r="H51" s="106" t="n">
        <x:v>8</x:v>
      </x:c>
      <x:c r="I51" s="106" t="n">
        <x:v>8</x:v>
      </x:c>
      <x:c r="J51" s="106" t="n">
        <x:v>8</x:v>
      </x:c>
      <x:c r="K51" s="106" t="n">
        <x:v>8</x:v>
      </x:c>
      <x:c r="L51" s="106" t="n">
        <x:v>8</x:v>
      </x:c>
      <x:c r="M51" s="106" t="n">
        <x:v>8</x:v>
      </x:c>
      <x:c r="N51" s="106" t="n">
        <x:v>8</x:v>
      </x:c>
      <x:c r="O51" s="106" t="n">
        <x:v>8</x:v>
      </x:c>
      <x:c r="P51" s="106" t="n">
        <x:v>8</x:v>
      </x:c>
      <x:c r="Q51" s="106" t="n">
        <x:v>8</x:v>
      </x:c>
      <x:c r="R51" s="106" t="n">
        <x:v>8</x:v>
      </x:c>
      <x:c r="S51" s="106" t="n">
        <x:v>8</x:v>
      </x:c>
      <x:c r="T51" s="106" t="n">
        <x:v>8</x:v>
      </x:c>
      <x:c r="U51" s="106" t="n">
        <x:v>8</x:v>
      </x:c>
      <x:c r="V51" s="106" t="n">
        <x:v>8</x:v>
      </x:c>
      <x:c r="W51" s="106" t="n">
        <x:v>6</x:v>
      </x:c>
      <x:c r="X51" s="106" t="n">
        <x:v>4</x:v>
      </x:c>
      <x:c r="Y51" s="106" t="n">
        <x:v>2</x:v>
      </x:c>
      <x:c r="Z51" s="106" t="n">
        <x:v>0</x:v>
      </x:c>
      <x:c r="AA51" t="n">
        <x:v>0</x:v>
      </x:c>
    </x:row>
    <x:row r="52">
      <x:c r="A52" s="78"/>
      <x:c r="B52" s="78"/>
      <x:c r="C52" s="78"/>
      <x:c r="D52" s="107" t="str">
        <x:v>TOTAL</x:v>
      </x:c>
      <x:c r="E52" s="107" t="n">
        <x:f>SUM(E16:E51)</x:f>
        <x:v>201</x:v>
      </x:c>
      <x:c r="F52" s="108" t="n">
        <x:f>SUM(F16:F51)</x:f>
        <x:v>196</x:v>
      </x:c>
      <x:c r="G52" s="108" t="n">
        <x:f>SUM(G16:G51)</x:f>
        <x:v>192</x:v>
      </x:c>
      <x:c r="H52" s="108" t="n">
        <x:f>SUM(H16:H51)</x:f>
        <x:v>186</x:v>
      </x:c>
      <x:c r="I52" s="108" t="n">
        <x:f>SUM(I16:I51)</x:f>
        <x:v>178.5</x:v>
      </x:c>
      <x:c r="J52" s="108" t="n">
        <x:f>SUM(J16:J51)</x:f>
        <x:v>168.5</x:v>
      </x:c>
      <x:c r="K52" s="108" t="n">
        <x:f>SUM(K16:K51)</x:f>
        <x:v>161</x:v>
      </x:c>
      <x:c r="L52" s="108" t="n">
        <x:f>SUM(L16:L51)</x:f>
        <x:v>153</x:v>
      </x:c>
      <x:c r="M52" s="108" t="n">
        <x:f>SUM(M16:M51)</x:f>
        <x:v>139</x:v>
      </x:c>
      <x:c r="N52" s="108" t="n">
        <x:f>SUM(N16:N51)</x:f>
        <x:v>123.5</x:v>
      </x:c>
      <x:c r="O52" s="108" t="n">
        <x:f>SUM(O16:O51)</x:f>
        <x:v>107.5</x:v>
      </x:c>
      <x:c r="P52" s="108" t="n">
        <x:f>SUM(P16:P51)</x:f>
        <x:v>90</x:v>
      </x:c>
      <x:c r="Q52" s="108" t="n">
        <x:f>SUM(Q16:Q51)</x:f>
        <x:v>74</x:v>
      </x:c>
      <x:c r="R52" s="108" t="n">
        <x:f>SUM(R16:R51)</x:f>
        <x:v>60.5</x:v>
      </x:c>
      <x:c r="S52" s="108" t="n">
        <x:f>SUM(S16:S51)</x:f>
        <x:v>47</x:v>
      </x:c>
      <x:c r="T52" s="108" t="n">
        <x:f>SUM(T16:T51)</x:f>
        <x:v>35</x:v>
      </x:c>
      <x:c r="U52" s="108" t="n">
        <x:f>SUM(U16:U51)</x:f>
        <x:v>27</x:v>
      </x:c>
      <x:c r="V52" s="108" t="n">
        <x:f>SUM(V16:V51)</x:f>
        <x:v>19.5</x:v>
      </x:c>
      <x:c r="W52" s="108" t="n">
        <x:f>SUM(W16:W51)</x:f>
        <x:v>9.5</x:v>
      </x:c>
      <x:c r="X52" s="108" t="n">
        <x:f>SUM(X16:X51)</x:f>
        <x:v>4</x:v>
      </x:c>
      <x:c r="Y52" s="108" t="n">
        <x:f>SUM(Y16:Y51)</x:f>
        <x:v>2</x:v>
      </x:c>
      <x:c r="Z52" s="108" t="n">
        <x:f>SUM(Z16:Z51)</x:f>
        <x:v>0</x:v>
      </x:c>
      <x:c r="AA52" t="n">
        <x:f>SUM(AA16:AA51)</x:f>
        <x:v>0</x:v>
      </x:c>
    </x:row>
  </x:sheetData>
  <x:mergeCells>
    <x:mergeCell ref="B16:C16"/>
    <x:mergeCell ref="B19:C19"/>
    <x:mergeCell ref="B24:C24"/>
    <x:mergeCell ref="B29:C29"/>
    <x:mergeCell ref="B34:C34"/>
    <x:mergeCell ref="B37:C37"/>
    <x:mergeCell ref="B39:C39"/>
    <x:mergeCell ref="B41:C41"/>
    <x:mergeCell ref="B43:C43"/>
    <x:mergeCell ref="B45:C45"/>
    <x:mergeCell ref="B50:C5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0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>
      <x:c r="A1" s="94" t="str">
        <x:v>Project Name:</x:v>
      </x:c>
      <x:c r="B1" s="45"/>
      <x:c r="C1" s="94" t="str">
        <x:v>Smart Scheduling - Website for Automated Staff Scheduling and Shift</x:v>
      </x:c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/>
    </x:row>
    <x:row r="2">
      <x:c r="A2" s="94" t="str">
        <x:v>Module Name:</x:v>
      </x:c>
      <x:c r="B2" s="45"/>
      <x:c r="C2" s="94" t="str">
        <x:v>Sprint 2 - Automated Scheduling &amp; Publishing</x:v>
      </x:c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/>
    </x:row>
    <x:row r="3">
      <x:c r="A3" s="94" t="str">
        <x:v>Development Team:</x:v>
      </x:c>
      <x:c r="B3" s="45"/>
      <x:c r="C3" s="94" t="str">
        <x:v>C1SE.57</x:v>
      </x:c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/>
    </x:row>
    <x:row r="4">
      <x:c r="A4" s="94" t="str">
        <x:v>Start Date:</x:v>
      </x:c>
      <x:c r="B4" s="45"/>
      <x:c r="C4" s="95" t="n">
        <x:v>46288</x:v>
      </x:c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/>
    </x:row>
    <x:row r="5">
      <x:c r="A5" s="94" t="str">
        <x:v>End Date:</x:v>
      </x:c>
      <x:c r="B5" s="45"/>
      <x:c r="C5" s="95" t="n">
        <x:v>46309</x:v>
      </x:c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/>
    </x:row>
    <x:row r="7">
      <x:c r="A7" s="45"/>
      <x:c r="B7" s="45"/>
      <x:c r="C7" s="45"/>
      <x:c r="D7" s="45"/>
      <x:c r="E7" s="45"/>
      <x:c r="F7" s="45"/>
      <x:c r="G7" s="45"/>
      <x:c r="H7" s="96" t="str">
        <x:v>On Time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/>
    </x:row>
    <x:row r="8">
      <x:c r="A8" s="97" t="str">
        <x:v>No.</x:v>
      </x:c>
      <x:c r="B8" s="97" t="str">
        <x:v>Member Name</x:v>
      </x:c>
      <x:c r="C8" s="97" t="str">
        <x:v>Full Name</x:v>
      </x:c>
      <x:c r="D8" s="97" t="str">
        <x:v>Estimate</x:v>
      </x:c>
      <x:c r="E8" s="97" t="str">
        <x:v>Actual</x:v>
      </x:c>
      <x:c r="F8" s="45"/>
      <x:c r="G8" s="45"/>
      <x:c r="H8" s="98" t="str">
        <x:v>Lately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/>
    </x:row>
    <x:row r="9">
      <x:c r="A9" s="78" t="n">
        <x:v>1</x:v>
      </x:c>
      <x:c r="B9" s="78" t="str">
        <x:v>Tuan</x:v>
      </x:c>
      <x:c r="C9" s="78" t="str">
        <x:v>Lê Hà Đức Tuấn</x:v>
      </x:c>
      <x:c r="D9" s="78" t="n">
        <x:f>SUMIF(Estimate!$D$16:$D$51,B9,Estimate!$E$16:$E$51)</x:f>
        <x:v>38</x:v>
      </x:c>
      <x:c r="E9" s="78" t="n">
        <x:f>SUMIF($D$16:$D$51,B9,$E$16:$E$51)</x:f>
        <x:v>0</x:v>
      </x:c>
      <x:c r="F9" s="45"/>
      <x:c r="G9" s="45"/>
      <x:c r="H9" s="99" t="str">
        <x:v>Early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/>
    </x:row>
    <x:row r="10">
      <x:c r="A10" s="78" t="n">
        <x:v>2</x:v>
      </x:c>
      <x:c r="B10" s="78" t="str">
        <x:v>Hien</x:v>
      </x:c>
      <x:c r="C10" s="78" t="str">
        <x:v>Lê Trần Thanh Hiền</x:v>
      </x:c>
      <x:c r="D10" s="78" t="n">
        <x:f>SUMIF(Estimate!$D$16:$D$51,B10,Estimate!$E$16:$E$51)</x:f>
        <x:v>34</x:v>
      </x:c>
      <x:c r="E10" s="78" t="n">
        <x:f>SUMIF($D$16:$D$51,B10,$E$16:$E$51)</x:f>
        <x:v>0</x:v>
      </x:c>
      <x:c r="F10" s="45"/>
      <x:c r="G10" s="45"/>
      <x:c r="H10" s="100" t="str">
        <x:v>Unfinished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/>
    </x:row>
    <x:row r="11">
      <x:c r="A11" s="78" t="n">
        <x:v>3</x:v>
      </x:c>
      <x:c r="B11" s="78" t="str">
        <x:v>Nghia</x:v>
      </x:c>
      <x:c r="C11" s="78" t="str">
        <x:v>Lê Đình Nghĩa</x:v>
      </x:c>
      <x:c r="D11" s="78" t="n">
        <x:f>SUMIF(Estimate!$D$16:$D$51,B11,Estimate!$E$16:$E$51)</x:f>
        <x:v>34</x:v>
      </x:c>
      <x:c r="E11" s="78" t="n">
        <x:f>SUMIF($D$16:$D$51,B11,$E$16:$E$51)</x:f>
        <x:v>0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/>
    </x:row>
    <x:row r="12">
      <x:c r="A12" s="78" t="n">
        <x:v>4</x:v>
      </x:c>
      <x:c r="B12" s="78" t="str">
        <x:v>Quan</x:v>
      </x:c>
      <x:c r="C12" s="78" t="str">
        <x:v>Huỳnh Văn Minh Quân</x:v>
      </x:c>
      <x:c r="D12" s="78" t="n">
        <x:f>SUMIF(Estimate!$D$16:$D$51,B12,Estimate!$E$16:$E$51)</x:f>
        <x:v>29</x:v>
      </x:c>
      <x:c r="E12" s="78" t="n">
        <x:f>SUMIF($D$16:$D$51,B12,$E$16:$E$51)</x:f>
        <x:v>0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/>
    </x:row>
    <x:row r="13">
      <x:c r="A13" s="78" t="n">
        <x:v>5</x:v>
      </x:c>
      <x:c r="B13" s="78" t="str">
        <x:v>Luc</x:v>
      </x:c>
      <x:c r="C13" s="78" t="str">
        <x:v>Huỳnh Vũ Lực</x:v>
      </x:c>
      <x:c r="D13" s="78" t="n">
        <x:f>SUMIF(Estimate!$D$16:$D$51,B13,Estimate!$E$16:$E$51)</x:f>
        <x:v>66</x:v>
      </x:c>
      <x:c r="E13" s="78" t="n">
        <x:f>SUMIF($D$16:$D$51,B13,$E$16:$E$51)</x:f>
        <x:v>0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/>
    </x:row>
    <x:row r="14">
      <x:c r="A14" s="78" t="str">
        <x:v>Total</x:v>
      </x:c>
      <x:c r="B14" s="78"/>
      <x:c r="C14" s="78"/>
      <x:c r="D14" s="78" t="n">
        <x:f>SUM(D9:D13)</x:f>
        <x:v>201</x:v>
      </x:c>
      <x:c r="E14" s="78" t="n">
        <x:f>SUM(E9:E13)</x:f>
        <x:v>0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/>
    </x:row>
    <x:row r="15">
      <x:c r="A15" s="101" t="str">
        <x:v>SPRINT 2 REPORT</x:v>
      </x:c>
      <x:c r="B15" s="101" t="str">
        <x:v>Component</x:v>
      </x:c>
      <x:c r="C15" s="101" t="str">
        <x:v>Task Name</x:v>
      </x:c>
      <x:c r="D15" s="101" t="str">
        <x:v>Responsible Member</x:v>
      </x:c>
      <x:c r="E15" s="101" t="str">
        <x:v>Actual</x:v>
      </x:c>
      <x:c r="F15" s="102" t="n">
        <x:v>46288</x:v>
      </x:c>
      <x:c r="G15" s="102" t="n">
        <x:v>46289</x:v>
      </x:c>
      <x:c r="H15" s="102" t="n">
        <x:v>46290</x:v>
      </x:c>
      <x:c r="I15" s="102" t="n">
        <x:v>46291</x:v>
      </x:c>
      <x:c r="J15" s="102" t="n">
        <x:v>46292</x:v>
      </x:c>
      <x:c r="K15" s="102" t="n">
        <x:v>46293</x:v>
      </x:c>
      <x:c r="L15" s="102" t="n">
        <x:v>46294</x:v>
      </x:c>
      <x:c r="M15" s="102" t="n">
        <x:v>46295</x:v>
      </x:c>
      <x:c r="N15" s="102" t="n">
        <x:v>46296</x:v>
      </x:c>
      <x:c r="O15" s="102" t="n">
        <x:v>46297</x:v>
      </x:c>
      <x:c r="P15" s="102" t="n">
        <x:v>46298</x:v>
      </x:c>
      <x:c r="Q15" s="102" t="n">
        <x:v>46299</x:v>
      </x:c>
      <x:c r="R15" s="102" t="n">
        <x:v>46300</x:v>
      </x:c>
      <x:c r="S15" s="102" t="n">
        <x:v>46301</x:v>
      </x:c>
      <x:c r="T15" s="102" t="n">
        <x:v>46302</x:v>
      </x:c>
      <x:c r="U15" s="102" t="n">
        <x:v>46303</x:v>
      </x:c>
      <x:c r="V15" s="102" t="n">
        <x:v>46304</x:v>
      </x:c>
      <x:c r="W15" s="102" t="n">
        <x:v>46305</x:v>
      </x:c>
      <x:c r="X15" s="102" t="n">
        <x:v>46306</x:v>
      </x:c>
      <x:c r="Y15" s="102" t="n">
        <x:v>46307</x:v>
      </x:c>
      <x:c r="Z15" s="102" t="n">
        <x:v>46308</x:v>
      </x:c>
      <x:c r="AA15" s="28" t="n">
        <x:v>46309</x:v>
      </x:c>
    </x:row>
    <x:row r="16">
      <x:c r="A16" s="78"/>
      <x:c r="B16" s="103" t="str">
        <x:v>Planning</x:v>
      </x:c>
      <x:c r="C16" s="104"/>
      <x:c r="D16" s="104"/>
      <x:c r="E16" s="104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  <x:c r="V16" s="105"/>
      <x:c r="W16" s="105"/>
      <x:c r="X16" s="105"/>
      <x:c r="Y16" s="105"/>
      <x:c r="Z16" s="105"/>
      <x:c r="AA16"/>
    </x:row>
    <x:row r="17">
      <x:c r="A17" s="78"/>
      <x:c r="B17" s="78" t="str">
        <x:v>Planning</x:v>
      </x:c>
      <x:c r="C17" s="78" t="str">
        <x:v>Sprint Planning Meeting</x:v>
      </x:c>
      <x:c r="D17" s="78" t="str">
        <x:v>Tuan</x:v>
      </x:c>
      <x:c r="E17" s="78"/>
      <x:c r="F17" s="106" t="n">
        <x:v>3</x:v>
      </x:c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  <x:c r="AA17"/>
    </x:row>
    <x:row r="18">
      <x:c r="A18" s="78"/>
      <x:c r="B18" s="78" t="str">
        <x:v>Planning</x:v>
      </x:c>
      <x:c r="C18" s="78" t="str">
        <x:v>Create Sprint Backlog &amp; Test Plan</x:v>
      </x:c>
      <x:c r="D18" s="78" t="str">
        <x:v>Tuan</x:v>
      </x:c>
      <x:c r="E18" s="78"/>
      <x:c r="F18" s="106" t="n">
        <x:v>4</x:v>
      </x:c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  <x:c r="AA18"/>
    </x:row>
    <x:row r="19">
      <x:c r="A19" s="78"/>
      <x:c r="B19" s="103" t="str">
        <x:v>Design</x:v>
      </x:c>
      <x:c r="C19" s="104"/>
      <x:c r="D19" s="104"/>
      <x:c r="E19" s="104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/>
    </x:row>
    <x:row r="20">
      <x:c r="A20" s="78"/>
      <x:c r="B20" s="78" t="str">
        <x:v>Design</x:v>
      </x:c>
      <x:c r="C20" s="78" t="str">
        <x:v>Define hard / soft scheduling constraints</x:v>
      </x:c>
      <x:c r="D20" s="78" t="str">
        <x:v>Luc</x:v>
      </x:c>
      <x:c r="E20" s="78"/>
      <x:c r="F20" s="106" t="n">
        <x:v>8</x:v>
      </x:c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  <x:c r="AA20"/>
    </x:row>
    <x:row r="21">
      <x:c r="A21" s="78"/>
      <x:c r="B21" s="78" t="str">
        <x:v>Design</x:v>
      </x:c>
      <x:c r="C21" s="78" t="str">
        <x:v>Design SchedulingRun &amp; job status model</x:v>
      </x:c>
      <x:c r="D21" s="78" t="str">
        <x:v>Nghia</x:v>
      </x:c>
      <x:c r="E21" s="78"/>
      <x:c r="F21" s="106" t="n">
        <x:v>6</x:v>
      </x:c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  <x:c r="AA21"/>
    </x:row>
    <x:row r="22">
      <x:c r="A22" s="78"/>
      <x:c r="B22" s="78" t="str">
        <x:v>Design</x:v>
      </x:c>
      <x:c r="C22" s="78" t="str">
        <x:v>Design Manager schedule review UI</x:v>
      </x:c>
      <x:c r="D22" s="78" t="str">
        <x:v>Hien</x:v>
      </x:c>
      <x:c r="E22" s="78"/>
      <x:c r="F22" s="106" t="n">
        <x:v>6</x:v>
      </x:c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  <x:c r="AA22"/>
    </x:row>
    <x:row r="23">
      <x:c r="A23" s="78"/>
      <x:c r="B23" s="78" t="str">
        <x:v>Design</x:v>
      </x:c>
      <x:c r="C23" s="78" t="str">
        <x:v>Design Staff published schedule UI (React Native)</x:v>
      </x:c>
      <x:c r="D23" s="78" t="str">
        <x:v>Quan</x:v>
      </x:c>
      <x:c r="E23" s="78"/>
      <x:c r="F23" s="106" t="n">
        <x:v>5</x:v>
      </x:c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  <x:c r="AA23"/>
    </x:row>
    <x:row r="24">
      <x:c r="A24" s="78"/>
      <x:c r="B24" s="103" t="str">
        <x:v>Scheduling</x:v>
      </x:c>
      <x:c r="C24" s="104"/>
      <x:c r="D24" s="104"/>
      <x:c r="E24" s="104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  <x:c r="V24" s="105"/>
      <x:c r="W24" s="105"/>
      <x:c r="X24" s="105"/>
      <x:c r="Y24" s="105"/>
      <x:c r="Z24" s="105"/>
      <x:c r="AA24"/>
    </x:row>
    <x:row r="25">
      <x:c r="A25" s="78"/>
      <x:c r="B25" s="78" t="str">
        <x:v>Scheduling</x:v>
      </x:c>
      <x:c r="C25" s="78" t="str">
        <x:v>Build FastAPI Scheduling Service</x:v>
      </x:c>
      <x:c r="D25" s="78" t="str">
        <x:v>Luc</x:v>
      </x:c>
      <x:c r="E25" s="78"/>
      <x:c r="F25" s="106" t="n">
        <x:v>10</x:v>
      </x:c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  <x:c r="AA25"/>
    </x:row>
    <x:row r="26">
      <x:c r="A26" s="78"/>
      <x:c r="B26" s="78" t="str">
        <x:v>Scheduling</x:v>
      </x:c>
      <x:c r="C26" s="78" t="str">
        <x:v>Implement OR-Tools CP-SAT base model</x:v>
      </x:c>
      <x:c r="D26" s="78" t="str">
        <x:v>Luc</x:v>
      </x:c>
      <x:c r="E26" s="78"/>
      <x:c r="F26" s="106" t="n">
        <x:v>14</x:v>
      </x:c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  <x:c r="AA26"/>
    </x:row>
    <x:row r="27">
      <x:c r="A27" s="78"/>
      <x:c r="B27" s="78" t="str">
        <x:v>Scheduling</x:v>
      </x:c>
      <x:c r="C27" s="78" t="str">
        <x:v>Implement hard constraints</x:v>
      </x:c>
      <x:c r="D27" s="78" t="str">
        <x:v>Luc</x:v>
      </x:c>
      <x:c r="E27" s="78"/>
      <x:c r="F27" s="106" t="n">
        <x:v>12</x:v>
      </x:c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  <x:c r="AA27"/>
    </x:row>
    <x:row r="28">
      <x:c r="A28" s="78"/>
      <x:c r="B28" s="78" t="str">
        <x:v>Scheduling</x:v>
      </x:c>
      <x:c r="C28" s="78" t="str">
        <x:v>Implement soft objectives &amp; unfilled-shift slack</x:v>
      </x:c>
      <x:c r="D28" s="78" t="str">
        <x:v>Luc</x:v>
      </x:c>
      <x:c r="E28" s="78"/>
      <x:c r="F28" s="106" t="n">
        <x:v>10</x:v>
      </x:c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  <x:c r="AA28"/>
    </x:row>
    <x:row r="29">
      <x:c r="A29" s="78"/>
      <x:c r="B29" s="103" t="str">
        <x:v>Backend</x:v>
      </x:c>
      <x:c r="C29" s="104"/>
      <x:c r="D29" s="104"/>
      <x:c r="E29" s="104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  <x:c r="V29" s="105"/>
      <x:c r="W29" s="105"/>
      <x:c r="X29" s="105"/>
      <x:c r="Y29" s="105"/>
      <x:c r="Z29" s="105"/>
      <x:c r="AA29"/>
    </x:row>
    <x:row r="30">
      <x:c r="A30" s="78"/>
      <x:c r="B30" s="78" t="str">
        <x:v>Backend</x:v>
      </x:c>
      <x:c r="C30" s="78" t="str">
        <x:v>Implement SchedulingRun orchestration</x:v>
      </x:c>
      <x:c r="D30" s="78" t="str">
        <x:v>Tuan</x:v>
      </x:c>
      <x:c r="E30" s="78"/>
      <x:c r="F30" s="106" t="n">
        <x:v>10</x:v>
      </x:c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  <x:c r="AA30"/>
    </x:row>
    <x:row r="31">
      <x:c r="A31" s="78"/>
      <x:c r="B31" s="78" t="str">
        <x:v>Backend</x:v>
      </x:c>
      <x:c r="C31" s="78" t="str">
        <x:v>Implement Redis queue / timeout / retry flow</x:v>
      </x:c>
      <x:c r="D31" s="78" t="str">
        <x:v>Tuan</x:v>
      </x:c>
      <x:c r="E31" s="78"/>
      <x:c r="F31" s="106" t="n">
        <x:v>8</x:v>
      </x:c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  <x:c r="AA31"/>
    </x:row>
    <x:row r="32">
      <x:c r="A32" s="78"/>
      <x:c r="B32" s="78" t="str">
        <x:v>Backend</x:v>
      </x:c>
      <x:c r="C32" s="78" t="str">
        <x:v>Implement schedule draft / version / publish APIs</x:v>
      </x:c>
      <x:c r="D32" s="78" t="str">
        <x:v>Nghia</x:v>
      </x:c>
      <x:c r="E32" s="78"/>
      <x:c r="F32" s="106" t="n">
        <x:v>12</x:v>
      </x:c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  <x:c r="AA32"/>
    </x:row>
    <x:row r="33">
      <x:c r="A33" s="78"/>
      <x:c r="B33" s="78" t="str">
        <x:v>Backend</x:v>
      </x:c>
      <x:c r="C33" s="78" t="str">
        <x:v>Implement manual schedule validation</x:v>
      </x:c>
      <x:c r="D33" s="78" t="str">
        <x:v>Nghia</x:v>
      </x:c>
      <x:c r="E33" s="78"/>
      <x:c r="F33" s="106" t="n">
        <x:v>8</x:v>
      </x:c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  <x:c r="AA33"/>
    </x:row>
    <x:row r="34">
      <x:c r="A34" s="78"/>
      <x:c r="B34" s="103" t="str">
        <x:v>Web</x:v>
      </x:c>
      <x:c r="C34" s="104"/>
      <x:c r="D34" s="104"/>
      <x:c r="E34" s="104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  <x:c r="V34" s="105"/>
      <x:c r="W34" s="105"/>
      <x:c r="X34" s="105"/>
      <x:c r="Y34" s="105"/>
      <x:c r="Z34" s="105"/>
      <x:c r="AA34"/>
    </x:row>
    <x:row r="35">
      <x:c r="A35" s="78"/>
      <x:c r="B35" s="78" t="str">
        <x:v>Web</x:v>
      </x:c>
      <x:c r="C35" s="78" t="str">
        <x:v>Implement Manager weekly schedule view</x:v>
      </x:c>
      <x:c r="D35" s="78" t="str">
        <x:v>Hien</x:v>
      </x:c>
      <x:c r="E35" s="78"/>
      <x:c r="F35" s="106" t="n">
        <x:v>10</x:v>
      </x:c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  <x:c r="AA35"/>
    </x:row>
    <x:row r="36">
      <x:c r="A36" s="78"/>
      <x:c r="B36" s="78" t="str">
        <x:v>Web</x:v>
      </x:c>
      <x:c r="C36" s="78" t="str">
        <x:v>Implement review / manual edit / publish</x:v>
      </x:c>
      <x:c r="D36" s="78" t="str">
        <x:v>Hien</x:v>
      </x:c>
      <x:c r="E36" s="78"/>
      <x:c r="F36" s="106" t="n">
        <x:v>12</x:v>
      </x:c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  <x:c r="AA36"/>
    </x:row>
    <x:row r="37">
      <x:c r="A37" s="78"/>
      <x:c r="B37" s="103" t="str">
        <x:v>React Native</x:v>
      </x:c>
      <x:c r="C37" s="104"/>
      <x:c r="D37" s="104"/>
      <x:c r="E37" s="104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  <x:c r="V37" s="105"/>
      <x:c r="W37" s="105"/>
      <x:c r="X37" s="105"/>
      <x:c r="Y37" s="105"/>
      <x:c r="Z37" s="105"/>
      <x:c r="AA37"/>
    </x:row>
    <x:row r="38">
      <x:c r="A38" s="78"/>
      <x:c r="B38" s="78" t="str">
        <x:v>React Native</x:v>
      </x:c>
      <x:c r="C38" s="78" t="str">
        <x:v>Implement Staff published schedule view (React Native)</x:v>
      </x:c>
      <x:c r="D38" s="78" t="str">
        <x:v>Quan</x:v>
      </x:c>
      <x:c r="E38" s="78"/>
      <x:c r="F38" s="106" t="n">
        <x:v>9</x:v>
      </x:c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  <x:c r="AA38"/>
    </x:row>
    <x:row r="39">
      <x:c r="A39" s="78"/>
      <x:c r="B39" s="103" t="str">
        <x:v>Notification</x:v>
      </x:c>
      <x:c r="C39" s="104"/>
      <x:c r="D39" s="104"/>
      <x:c r="E39" s="104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  <x:c r="V39" s="105"/>
      <x:c r="W39" s="105"/>
      <x:c r="X39" s="105"/>
      <x:c r="Y39" s="105"/>
      <x:c r="Z39" s="105"/>
      <x:c r="AA39"/>
    </x:row>
    <x:row r="40">
      <x:c r="A40" s="78"/>
      <x:c r="B40" s="78" t="str">
        <x:v>Notification</x:v>
      </x:c>
      <x:c r="C40" s="78" t="str">
        <x:v>Implement schedule publish/change notifications</x:v>
      </x:c>
      <x:c r="D40" s="78" t="str">
        <x:v>Quan</x:v>
      </x:c>
      <x:c r="E40" s="78"/>
      <x:c r="F40" s="106" t="n">
        <x:v>7</x:v>
      </x:c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  <x:c r="AA40"/>
    </x:row>
    <x:row r="41">
      <x:c r="A41" s="78"/>
      <x:c r="B41" s="103" t="str">
        <x:v>Integration</x:v>
      </x:c>
      <x:c r="C41" s="104"/>
      <x:c r="D41" s="104"/>
      <x:c r="E41" s="104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  <x:c r="V41" s="105"/>
      <x:c r="W41" s="105"/>
      <x:c r="X41" s="105"/>
      <x:c r="Y41" s="105"/>
      <x:c r="Z41" s="105"/>
      <x:c r="AA41"/>
    </x:row>
    <x:row r="42">
      <x:c r="A42" s="78"/>
      <x:c r="B42" s="78" t="str">
        <x:v>Integration</x:v>
      </x:c>
      <x:c r="C42" s="78" t="str">
        <x:v>Integrate Laravel ↔ Scheduling Service</x:v>
      </x:c>
      <x:c r="D42" s="78" t="str">
        <x:v>Tuan</x:v>
      </x:c>
      <x:c r="E42" s="78"/>
      <x:c r="F42" s="106" t="n">
        <x:v>8</x:v>
      </x:c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  <x:c r="AA42"/>
    </x:row>
    <x:row r="43">
      <x:c r="A43" s="78"/>
      <x:c r="B43" s="103" t="str">
        <x:v>Resilience</x:v>
      </x:c>
      <x:c r="C43" s="104"/>
      <x:c r="D43" s="104"/>
      <x:c r="E43" s="104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  <x:c r="V43" s="105"/>
      <x:c r="W43" s="105"/>
      <x:c r="X43" s="105"/>
      <x:c r="Y43" s="105"/>
      <x:c r="Z43" s="105"/>
      <x:c r="AA43"/>
    </x:row>
    <x:row r="44">
      <x:c r="A44" s="78"/>
      <x:c r="B44" s="78" t="str">
        <x:v>Resilience</x:v>
      </x:c>
      <x:c r="C44" s="78" t="str">
        <x:v>Implement Scheduling Service health/fallback status</x:v>
      </x:c>
      <x:c r="D44" s="78" t="str">
        <x:v>Luc</x:v>
      </x:c>
      <x:c r="E44" s="78"/>
      <x:c r="F44" s="106" t="n">
        <x:v>6</x:v>
      </x:c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  <x:c r="AA44"/>
    </x:row>
    <x:row r="45">
      <x:c r="A45" s="78"/>
      <x:c r="B45" s="103" t="str">
        <x:v>Testing</x:v>
      </x:c>
      <x:c r="C45" s="104"/>
      <x:c r="D45" s="104"/>
      <x:c r="E45" s="104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  <x:c r="V45" s="105"/>
      <x:c r="W45" s="105"/>
      <x:c r="X45" s="105"/>
      <x:c r="Y45" s="105"/>
      <x:c r="Z45" s="105"/>
      <x:c r="AA45"/>
    </x:row>
    <x:row r="46">
      <x:c r="A46" s="78"/>
      <x:c r="B46" s="78" t="str">
        <x:v>Testing</x:v>
      </x:c>
      <x:c r="C46" s="78" t="str">
        <x:v>Constraint dataset tests - zero hard violations</x:v>
      </x:c>
      <x:c r="D46" s="78" t="str">
        <x:v>Nghia</x:v>
      </x:c>
      <x:c r="E46" s="78"/>
      <x:c r="F46" s="106" t="n">
        <x:v>8</x:v>
      </x:c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  <x:c r="AA46"/>
    </x:row>
    <x:row r="47">
      <x:c r="A47" s="78"/>
      <x:c r="B47" s="78" t="str">
        <x:v>Testing</x:v>
      </x:c>
      <x:c r="C47" s="78" t="str">
        <x:v>Solver performance test ≤ 15 seconds</x:v>
      </x:c>
      <x:c r="D47" s="78" t="str">
        <x:v>Luc</x:v>
      </x:c>
      <x:c r="E47" s="78"/>
      <x:c r="F47" s="106" t="n">
        <x:v>6</x:v>
      </x:c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  <x:c r="AA47"/>
    </x:row>
    <x:row r="48">
      <x:c r="A48" s="78"/>
      <x:c r="B48" s="78" t="str">
        <x:v>Testing</x:v>
      </x:c>
      <x:c r="C48" s="78" t="str">
        <x:v>Manual scheduling graceful-degradation test</x:v>
      </x:c>
      <x:c r="D48" s="78" t="str">
        <x:v>Tuan</x:v>
      </x:c>
      <x:c r="E48" s="78"/>
      <x:c r="F48" s="106" t="n">
        <x:v>5</x:v>
      </x:c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  <x:c r="AA48"/>
    </x:row>
    <x:row r="49">
      <x:c r="A49" s="78"/>
      <x:c r="B49" s="78" t="str">
        <x:v>Testing</x:v>
      </x:c>
      <x:c r="C49" s="78" t="str">
        <x:v>Schedule publish / notification E2E test</x:v>
      </x:c>
      <x:c r="D49" s="78" t="str">
        <x:v>Hien</x:v>
      </x:c>
      <x:c r="E49" s="78"/>
      <x:c r="F49" s="106" t="n">
        <x:v>6</x:v>
      </x:c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  <x:c r="AA49"/>
    </x:row>
    <x:row r="50">
      <x:c r="A50" s="78"/>
      <x:c r="B50" s="103" t="str">
        <x:v>Release</x:v>
      </x:c>
      <x:c r="C50" s="104"/>
      <x:c r="D50" s="104"/>
      <x:c r="E50" s="104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  <x:c r="V50" s="105"/>
      <x:c r="W50" s="105"/>
      <x:c r="X50" s="105"/>
      <x:c r="Y50" s="105"/>
      <x:c r="Z50" s="105"/>
      <x:c r="AA50"/>
    </x:row>
    <x:row r="51">
      <x:c r="A51" s="78"/>
      <x:c r="B51" s="78" t="str">
        <x:v>Release</x:v>
      </x:c>
      <x:c r="C51" s="78" t="str">
        <x:v>Bug fixing &amp; Sprint 2 release</x:v>
      </x:c>
      <x:c r="D51" s="78" t="str">
        <x:v>Quan</x:v>
      </x:c>
      <x:c r="E51" s="78"/>
      <x:c r="F51" s="106" t="n">
        <x:v>8</x:v>
      </x:c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  <x:c r="AA51"/>
    </x:row>
    <x:row r="52">
      <x:c r="A52" s="78"/>
      <x:c r="B52" s="78"/>
      <x:c r="C52" s="78"/>
      <x:c r="D52" s="107" t="str">
        <x:v>TOTAL</x:v>
      </x:c>
      <x:c r="E52" s="107" t="n">
        <x:f>SUM(E16:E51)</x:f>
        <x:v>0</x:v>
      </x:c>
      <x:c r="F52" s="108" t="n">
        <x:f>IF(COUNT(F16:F51)=0,"",SUM(F16:F51))</x:f>
        <x:v>201</x:v>
      </x:c>
      <x:c r="G52" s="108" t="str">
        <x:f>IF(COUNT(G16:G51)=0,"",SUM(G16:G51))</x:f>
      </x:c>
      <x:c r="H52" s="108" t="str">
        <x:f>IF(COUNT(H16:H51)=0,"",SUM(H16:H51))</x:f>
      </x:c>
      <x:c r="I52" s="108" t="str">
        <x:f>IF(COUNT(I16:I51)=0,"",SUM(I16:I51))</x:f>
      </x:c>
      <x:c r="J52" s="108" t="str">
        <x:f>IF(COUNT(J16:J51)=0,"",SUM(J16:J51))</x:f>
      </x:c>
      <x:c r="K52" s="108" t="str">
        <x:f>IF(COUNT(K16:K51)=0,"",SUM(K16:K51))</x:f>
      </x:c>
      <x:c r="L52" s="108" t="str">
        <x:f>IF(COUNT(L16:L51)=0,"",SUM(L16:L51))</x:f>
      </x:c>
      <x:c r="M52" s="108" t="str">
        <x:f>IF(COUNT(M16:M51)=0,"",SUM(M16:M51))</x:f>
      </x:c>
      <x:c r="N52" s="108" t="str">
        <x:f>IF(COUNT(N16:N51)=0,"",SUM(N16:N51))</x:f>
      </x:c>
      <x:c r="O52" s="108" t="str">
        <x:f>IF(COUNT(O16:O51)=0,"",SUM(O16:O51))</x:f>
      </x:c>
      <x:c r="P52" s="108" t="str">
        <x:f>IF(COUNT(P16:P51)=0,"",SUM(P16:P51))</x:f>
      </x:c>
      <x:c r="Q52" s="108" t="str">
        <x:f>IF(COUNT(Q16:Q51)=0,"",SUM(Q16:Q51))</x:f>
      </x:c>
      <x:c r="R52" s="108" t="str">
        <x:f>IF(COUNT(R16:R51)=0,"",SUM(R16:R51))</x:f>
      </x:c>
      <x:c r="S52" s="108" t="str">
        <x:f>IF(COUNT(S16:S51)=0,"",SUM(S16:S51))</x:f>
      </x:c>
      <x:c r="T52" s="108" t="str">
        <x:f>IF(COUNT(T16:T51)=0,"",SUM(T16:T51))</x:f>
      </x:c>
      <x:c r="U52" s="108" t="str">
        <x:f>IF(COUNT(U16:U51)=0,"",SUM(U16:U51))</x:f>
      </x:c>
      <x:c r="V52" s="108" t="str">
        <x:f>IF(COUNT(V16:V51)=0,"",SUM(V16:V51))</x:f>
      </x:c>
      <x:c r="W52" s="108" t="str">
        <x:f>IF(COUNT(W16:W51)=0,"",SUM(W16:W51))</x:f>
      </x:c>
      <x:c r="X52" s="108" t="str">
        <x:f>IF(COUNT(X16:X51)=0,"",SUM(X16:X51))</x:f>
      </x:c>
      <x:c r="Y52" s="108" t="str">
        <x:f>IF(COUNT(Y16:Y51)=0,"",SUM(Y16:Y51))</x:f>
      </x:c>
      <x:c r="Z52" s="108" t="str">
        <x:f>IF(COUNT(Z16:Z51)=0,"",SUM(Z16:Z51))</x:f>
      </x:c>
      <x:c r="AA52" t="str">
        <x:f>IF(COUNT(AA16:AA51)=0,"",SUM(AA16:AA51))</x:f>
      </x:c>
    </x:row>
  </x:sheetData>
  <x:mergeCells>
    <x:mergeCell ref="B16:C16"/>
    <x:mergeCell ref="B19:C19"/>
    <x:mergeCell ref="B24:C24"/>
    <x:mergeCell ref="B29:C29"/>
    <x:mergeCell ref="B34:C34"/>
    <x:mergeCell ref="B37:C37"/>
    <x:mergeCell ref="B39:C39"/>
    <x:mergeCell ref="B41:C41"/>
    <x:mergeCell ref="B43:C43"/>
    <x:mergeCell ref="B45:C45"/>
    <x:mergeCell ref="B50:C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126" t="str">
        <x:v>Burn down chart Sprint 2</x:v>
      </x:c>
    </x:row>
    <x:row r="3">
      <x:c r="A3" s="128" t="str">
        <x:v>Estimate</x:v>
      </x:c>
      <x:c r="B3" s="128" t="str">
        <x:v>Actual</x:v>
      </x:c>
      <x:c r="C3" s="128" t="str">
        <x:v>Date</x:v>
      </x:c>
    </x:row>
    <x:row r="4">
      <x:c r="A4" s="129" t="n">
        <x:f>Estimate!F52</x:f>
        <x:v>196</x:v>
      </x:c>
      <x:c r="B4" s="129"/>
      <x:c r="C4" s="130" t="n">
        <x:v>46288</x:v>
      </x:c>
    </x:row>
    <x:row r="5">
      <x:c r="A5" s="129" t="n">
        <x:f>Estimate!G52</x:f>
        <x:v>192</x:v>
      </x:c>
      <x:c r="B5" s="129"/>
      <x:c r="C5" s="130" t="n">
        <x:v>46289</x:v>
      </x:c>
    </x:row>
    <x:row r="6">
      <x:c r="A6" s="129" t="n">
        <x:f>Estimate!H52</x:f>
        <x:v>186</x:v>
      </x:c>
      <x:c r="B6" s="129"/>
      <x:c r="C6" s="130" t="n">
        <x:v>46290</x:v>
      </x:c>
    </x:row>
    <x:row r="7">
      <x:c r="A7" s="129" t="n">
        <x:f>Estimate!I52</x:f>
        <x:v>178.5</x:v>
      </x:c>
      <x:c r="B7" s="129"/>
      <x:c r="C7" s="130" t="n">
        <x:v>46291</x:v>
      </x:c>
    </x:row>
    <x:row r="8">
      <x:c r="A8" s="129" t="n">
        <x:f>Estimate!J52</x:f>
        <x:v>168.5</x:v>
      </x:c>
      <x:c r="B8" s="129"/>
      <x:c r="C8" s="130" t="n">
        <x:v>46292</x:v>
      </x:c>
    </x:row>
    <x:row r="9">
      <x:c r="A9" s="129" t="n">
        <x:f>Estimate!K52</x:f>
        <x:v>161</x:v>
      </x:c>
      <x:c r="B9" s="129"/>
      <x:c r="C9" s="130" t="n">
        <x:v>46293</x:v>
      </x:c>
    </x:row>
    <x:row r="10">
      <x:c r="A10" s="129" t="n">
        <x:f>Estimate!L52</x:f>
        <x:v>153</x:v>
      </x:c>
      <x:c r="B10" s="129"/>
      <x:c r="C10" s="130" t="n">
        <x:v>46294</x:v>
      </x:c>
    </x:row>
    <x:row r="11">
      <x:c r="A11" s="129" t="n">
        <x:f>Estimate!M52</x:f>
        <x:v>139</x:v>
      </x:c>
      <x:c r="B11" s="129"/>
      <x:c r="C11" s="130" t="n">
        <x:v>46295</x:v>
      </x:c>
    </x:row>
    <x:row r="12">
      <x:c r="A12" s="129" t="n">
        <x:f>Estimate!N52</x:f>
        <x:v>123.5</x:v>
      </x:c>
      <x:c r="B12" s="129"/>
      <x:c r="C12" s="130" t="n">
        <x:v>46296</x:v>
      </x:c>
    </x:row>
    <x:row r="13">
      <x:c r="A13" s="129" t="n">
        <x:f>Estimate!O52</x:f>
        <x:v>107.5</x:v>
      </x:c>
      <x:c r="B13" s="129"/>
      <x:c r="C13" s="130" t="n">
        <x:v>46297</x:v>
      </x:c>
    </x:row>
    <x:row r="14">
      <x:c r="A14" s="129" t="n">
        <x:f>Estimate!P52</x:f>
        <x:v>90</x:v>
      </x:c>
      <x:c r="B14" s="129"/>
      <x:c r="C14" s="130" t="n">
        <x:v>46298</x:v>
      </x:c>
    </x:row>
    <x:row r="15">
      <x:c r="A15" s="129" t="n">
        <x:f>Estimate!Q52</x:f>
        <x:v>74</x:v>
      </x:c>
      <x:c r="B15" s="129"/>
      <x:c r="C15" s="130" t="n">
        <x:v>46299</x:v>
      </x:c>
    </x:row>
    <x:row r="16">
      <x:c r="A16" s="129" t="n">
        <x:f>Estimate!R52</x:f>
        <x:v>60.5</x:v>
      </x:c>
      <x:c r="B16" s="129"/>
      <x:c r="C16" s="130" t="n">
        <x:v>46300</x:v>
      </x:c>
    </x:row>
    <x:row r="17">
      <x:c r="A17" s="129" t="n">
        <x:f>Estimate!S52</x:f>
        <x:v>47</x:v>
      </x:c>
      <x:c r="B17" s="129"/>
      <x:c r="C17" s="130" t="n">
        <x:v>46301</x:v>
      </x:c>
    </x:row>
    <x:row r="18">
      <x:c r="A18" s="129" t="n">
        <x:f>Estimate!T52</x:f>
        <x:v>35</x:v>
      </x:c>
      <x:c r="B18" s="129"/>
      <x:c r="C18" s="130" t="n">
        <x:v>46302</x:v>
      </x:c>
    </x:row>
    <x:row r="19">
      <x:c r="A19" s="129" t="n">
        <x:f>Estimate!U52</x:f>
        <x:v>27</x:v>
      </x:c>
      <x:c r="B19" s="129"/>
      <x:c r="C19" s="130" t="n">
        <x:v>46303</x:v>
      </x:c>
    </x:row>
    <x:row r="20">
      <x:c r="A20" s="129" t="n">
        <x:f>Estimate!V52</x:f>
        <x:v>19.5</x:v>
      </x:c>
      <x:c r="B20" s="129"/>
      <x:c r="C20" s="130" t="n">
        <x:v>46304</x:v>
      </x:c>
    </x:row>
    <x:row r="21">
      <x:c r="A21" s="129" t="n">
        <x:f>Estimate!W52</x:f>
        <x:v>9.5</x:v>
      </x:c>
      <x:c r="B21" s="129"/>
      <x:c r="C21" s="130" t="n">
        <x:v>46305</x:v>
      </x:c>
    </x:row>
    <x:row r="22">
      <x:c r="A22" s="129" t="n">
        <x:f>Estimate!X52</x:f>
        <x:v>4</x:v>
      </x:c>
      <x:c r="B22" s="129"/>
      <x:c r="C22" s="130" t="n">
        <x:v>46306</x:v>
      </x:c>
    </x:row>
    <x:row r="23">
      <x:c r="A23" s="129" t="n">
        <x:f>Estimate!Y52</x:f>
        <x:v>2</x:v>
      </x:c>
      <x:c r="B23" s="129"/>
      <x:c r="C23" s="130" t="n">
        <x:v>46307</x:v>
      </x:c>
    </x:row>
    <x:row r="24">
      <x:c r="A24" s="129" t="n">
        <x:f>Estimate!Z52</x:f>
        <x:v>0</x:v>
      </x:c>
      <x:c r="B24" s="129"/>
      <x:c r="C24" s="130" t="n">
        <x:v>46308</x:v>
      </x:c>
    </x:row>
    <x:row r="25">
      <x:c r="A25" t="n">
        <x:f>Estimate!AA52</x:f>
        <x:v>0</x:v>
      </x:c>
      <x:c r="B25"/>
      <x:c r="C25" s="28" t="n">
        <x:v>46309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b633845a6e8e4112"/>
</x:worksheet>
</file>